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fl\.gemini\antigravity\scratch\patms\"/>
    </mc:Choice>
  </mc:AlternateContent>
  <xr:revisionPtr revIDLastSave="0" documentId="8_{087F5CB7-A450-4930-AFCD-BA77BC48374E}" xr6:coauthVersionLast="47" xr6:coauthVersionMax="47" xr10:uidLastSave="{00000000-0000-0000-0000-000000000000}"/>
  <bookViews>
    <workbookView xWindow="-110" yWindow="-110" windowWidth="25820" windowHeight="15500" activeTab="1" xr2:uid="{E99CDFE6-051D-4931-8E03-A3DC7B043CEC}"/>
  </bookViews>
  <sheets>
    <sheet name="S4 G1 Final" sheetId="1" r:id="rId1"/>
    <sheet name="S4 G2 wkg" sheetId="3" r:id="rId2"/>
    <sheet name="S4 G3 wkg" sheetId="4" r:id="rId3"/>
    <sheet name="S4 G4 wkg" sheetId="5" r:id="rId4"/>
    <sheet name="S4 G5 wkg" sheetId="6" r:id="rId5"/>
    <sheet name="S4 G wkg" sheetId="7" r:id="rId6"/>
    <sheet name="S4 Satellite wkg" sheetId="8" r:id="rId7"/>
    <sheet name="ToC wkg" sheetId="9" r:id="rId8"/>
    <sheet name="notes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3" i="3"/>
  <c r="W4" i="3"/>
  <c r="W5" i="3"/>
  <c r="W6" i="3"/>
  <c r="J32" i="9"/>
  <c r="F32" i="9"/>
  <c r="J31" i="9"/>
  <c r="F31" i="9"/>
  <c r="J30" i="9"/>
  <c r="F30" i="9"/>
  <c r="J29" i="9"/>
  <c r="F29" i="9"/>
  <c r="J28" i="9"/>
  <c r="F28" i="9"/>
  <c r="J27" i="9"/>
  <c r="F27" i="9"/>
  <c r="J26" i="9"/>
  <c r="F26" i="9"/>
  <c r="J25" i="9"/>
  <c r="F25" i="9"/>
  <c r="J24" i="9"/>
  <c r="F24" i="9"/>
  <c r="J23" i="9"/>
  <c r="F23" i="9"/>
  <c r="J22" i="9"/>
  <c r="F22" i="9"/>
  <c r="J21" i="9"/>
  <c r="F21" i="9"/>
  <c r="J20" i="9"/>
  <c r="F20" i="9"/>
  <c r="J19" i="9"/>
  <c r="F19" i="9"/>
  <c r="J18" i="9"/>
  <c r="F18" i="9"/>
  <c r="J17" i="9"/>
  <c r="F17" i="9"/>
  <c r="L16" i="9"/>
  <c r="J16" i="9"/>
  <c r="F16" i="9"/>
  <c r="J15" i="9"/>
  <c r="F15" i="9"/>
  <c r="J14" i="9"/>
  <c r="F14" i="9"/>
  <c r="J13" i="9"/>
  <c r="F13" i="9"/>
  <c r="L12" i="9"/>
  <c r="J12" i="9"/>
  <c r="F12" i="9"/>
  <c r="L11" i="9"/>
  <c r="J11" i="9"/>
  <c r="F11" i="9"/>
  <c r="L10" i="9"/>
  <c r="J10" i="9"/>
  <c r="F10" i="9"/>
  <c r="Q9" i="9"/>
  <c r="L9" i="9"/>
  <c r="J9" i="9"/>
  <c r="F9" i="9"/>
  <c r="S8" i="9"/>
  <c r="L8" i="9"/>
  <c r="J8" i="9"/>
  <c r="F8" i="9"/>
  <c r="E8" i="9"/>
  <c r="S7" i="9"/>
  <c r="L7" i="9"/>
  <c r="J7" i="9"/>
  <c r="F7" i="9"/>
  <c r="E7" i="9"/>
  <c r="W6" i="9"/>
  <c r="S6" i="9"/>
  <c r="L6" i="9"/>
  <c r="J6" i="9"/>
  <c r="F6" i="9"/>
  <c r="E6" i="9"/>
  <c r="W5" i="9"/>
  <c r="S5" i="9"/>
  <c r="L5" i="9"/>
  <c r="J5" i="9"/>
  <c r="F5" i="9"/>
  <c r="E5" i="9"/>
  <c r="W4" i="9"/>
  <c r="S4" i="9"/>
  <c r="L4" i="9"/>
  <c r="J4" i="9"/>
  <c r="F4" i="9"/>
  <c r="E4" i="9"/>
  <c r="W3" i="9"/>
  <c r="S3" i="9"/>
  <c r="L3" i="9"/>
  <c r="J3" i="9"/>
  <c r="F3" i="9"/>
  <c r="E3" i="9"/>
  <c r="W2" i="9"/>
  <c r="S2" i="9"/>
  <c r="L2" i="9"/>
  <c r="J2" i="9"/>
  <c r="F2" i="9"/>
  <c r="E2" i="9"/>
  <c r="J32" i="8"/>
  <c r="F32" i="8"/>
  <c r="J31" i="8"/>
  <c r="F31" i="8"/>
  <c r="J30" i="8"/>
  <c r="F30" i="8"/>
  <c r="J29" i="8"/>
  <c r="F29" i="8"/>
  <c r="J28" i="8"/>
  <c r="F28" i="8"/>
  <c r="J27" i="8"/>
  <c r="G27" i="8"/>
  <c r="F27" i="8"/>
  <c r="J26" i="8"/>
  <c r="F26" i="8"/>
  <c r="J25" i="8"/>
  <c r="F25" i="8"/>
  <c r="J24" i="8"/>
  <c r="F24" i="8"/>
  <c r="J23" i="8"/>
  <c r="F23" i="8"/>
  <c r="J22" i="8"/>
  <c r="F22" i="8"/>
  <c r="J21" i="8"/>
  <c r="F21" i="8"/>
  <c r="J20" i="8"/>
  <c r="F20" i="8"/>
  <c r="J19" i="8"/>
  <c r="F19" i="8"/>
  <c r="J18" i="8"/>
  <c r="F18" i="8"/>
  <c r="J17" i="8"/>
  <c r="F17" i="8"/>
  <c r="L16" i="8"/>
  <c r="J16" i="8"/>
  <c r="F16" i="8"/>
  <c r="J15" i="8"/>
  <c r="F15" i="8"/>
  <c r="J14" i="8"/>
  <c r="F14" i="8"/>
  <c r="J13" i="8"/>
  <c r="F13" i="8"/>
  <c r="L12" i="8"/>
  <c r="J12" i="8"/>
  <c r="F12" i="8"/>
  <c r="L11" i="8"/>
  <c r="J11" i="8"/>
  <c r="F11" i="8"/>
  <c r="L10" i="8"/>
  <c r="J10" i="8"/>
  <c r="F10" i="8"/>
  <c r="Q9" i="8"/>
  <c r="L9" i="8"/>
  <c r="J9" i="8"/>
  <c r="F9" i="8"/>
  <c r="S8" i="8"/>
  <c r="L8" i="8"/>
  <c r="J8" i="8"/>
  <c r="F8" i="8"/>
  <c r="E8" i="8"/>
  <c r="S7" i="8"/>
  <c r="L7" i="8"/>
  <c r="J7" i="8"/>
  <c r="F7" i="8"/>
  <c r="W6" i="8"/>
  <c r="S6" i="8"/>
  <c r="L6" i="8"/>
  <c r="J6" i="8"/>
  <c r="F6" i="8"/>
  <c r="E6" i="8"/>
  <c r="W5" i="8"/>
  <c r="S5" i="8"/>
  <c r="L5" i="8"/>
  <c r="J5" i="8"/>
  <c r="F5" i="8"/>
  <c r="E5" i="8"/>
  <c r="W4" i="8"/>
  <c r="S4" i="8"/>
  <c r="L4" i="8"/>
  <c r="J4" i="8"/>
  <c r="F4" i="8"/>
  <c r="W3" i="8"/>
  <c r="S3" i="8"/>
  <c r="L3" i="8"/>
  <c r="J3" i="8"/>
  <c r="F3" i="8"/>
  <c r="E3" i="8"/>
  <c r="W2" i="8"/>
  <c r="S2" i="8"/>
  <c r="L2" i="8"/>
  <c r="J2" i="8"/>
  <c r="F2" i="8"/>
  <c r="E2" i="8"/>
  <c r="J32" i="7"/>
  <c r="F32" i="7"/>
  <c r="J31" i="7"/>
  <c r="F31" i="7"/>
  <c r="J30" i="7"/>
  <c r="F30" i="7"/>
  <c r="J29" i="7"/>
  <c r="F29" i="7"/>
  <c r="J28" i="7"/>
  <c r="F28" i="7"/>
  <c r="J27" i="7"/>
  <c r="F27" i="7"/>
  <c r="J26" i="7"/>
  <c r="F26" i="7"/>
  <c r="J25" i="7"/>
  <c r="F25" i="7"/>
  <c r="J24" i="7"/>
  <c r="F24" i="7"/>
  <c r="J23" i="7"/>
  <c r="F23" i="7"/>
  <c r="J22" i="7"/>
  <c r="F22" i="7"/>
  <c r="J21" i="7"/>
  <c r="F21" i="7"/>
  <c r="J20" i="7"/>
  <c r="F20" i="7"/>
  <c r="J19" i="7"/>
  <c r="F19" i="7"/>
  <c r="J18" i="7"/>
  <c r="F18" i="7"/>
  <c r="J17" i="7"/>
  <c r="F17" i="7"/>
  <c r="L16" i="7"/>
  <c r="J16" i="7"/>
  <c r="F16" i="7"/>
  <c r="J15" i="7"/>
  <c r="F15" i="7"/>
  <c r="J14" i="7"/>
  <c r="F14" i="7"/>
  <c r="J13" i="7"/>
  <c r="F13" i="7"/>
  <c r="L12" i="7"/>
  <c r="J12" i="7"/>
  <c r="F12" i="7"/>
  <c r="L11" i="7"/>
  <c r="J11" i="7"/>
  <c r="F11" i="7"/>
  <c r="L10" i="7"/>
  <c r="J10" i="7"/>
  <c r="F10" i="7"/>
  <c r="Q9" i="7"/>
  <c r="L9" i="7"/>
  <c r="J9" i="7"/>
  <c r="F9" i="7"/>
  <c r="S8" i="7"/>
  <c r="L8" i="7"/>
  <c r="J8" i="7"/>
  <c r="F8" i="7"/>
  <c r="E8" i="7"/>
  <c r="S7" i="7"/>
  <c r="L7" i="7"/>
  <c r="J7" i="7"/>
  <c r="F7" i="7"/>
  <c r="E7" i="7"/>
  <c r="W6" i="7"/>
  <c r="S6" i="7"/>
  <c r="L6" i="7"/>
  <c r="J6" i="7"/>
  <c r="F6" i="7"/>
  <c r="E6" i="7"/>
  <c r="W5" i="7"/>
  <c r="S5" i="7"/>
  <c r="L5" i="7"/>
  <c r="J5" i="7"/>
  <c r="F5" i="7"/>
  <c r="E5" i="7"/>
  <c r="W4" i="7"/>
  <c r="S4" i="7"/>
  <c r="L4" i="7"/>
  <c r="J4" i="7"/>
  <c r="F4" i="7"/>
  <c r="W3" i="7"/>
  <c r="S3" i="7"/>
  <c r="L3" i="7"/>
  <c r="J3" i="7"/>
  <c r="F3" i="7"/>
  <c r="E3" i="7"/>
  <c r="W2" i="7"/>
  <c r="S2" i="7"/>
  <c r="L2" i="7"/>
  <c r="J2" i="7"/>
  <c r="F2" i="7"/>
  <c r="E2" i="7"/>
  <c r="J32" i="6"/>
  <c r="F32" i="6"/>
  <c r="J31" i="6"/>
  <c r="F31" i="6"/>
  <c r="J30" i="6"/>
  <c r="F30" i="6"/>
  <c r="J29" i="6"/>
  <c r="F29" i="6"/>
  <c r="J28" i="6"/>
  <c r="F28" i="6"/>
  <c r="J27" i="6"/>
  <c r="F27" i="6"/>
  <c r="J26" i="6"/>
  <c r="F26" i="6"/>
  <c r="J25" i="6"/>
  <c r="F25" i="6"/>
  <c r="J24" i="6"/>
  <c r="F24" i="6"/>
  <c r="J23" i="6"/>
  <c r="F23" i="6"/>
  <c r="J22" i="6"/>
  <c r="F22" i="6"/>
  <c r="J21" i="6"/>
  <c r="F21" i="6"/>
  <c r="J20" i="6"/>
  <c r="F20" i="6"/>
  <c r="J19" i="6"/>
  <c r="F19" i="6"/>
  <c r="J18" i="6"/>
  <c r="F18" i="6"/>
  <c r="J17" i="6"/>
  <c r="F17" i="6"/>
  <c r="L16" i="6"/>
  <c r="J16" i="6"/>
  <c r="F16" i="6"/>
  <c r="J15" i="6"/>
  <c r="F15" i="6"/>
  <c r="J14" i="6"/>
  <c r="F14" i="6"/>
  <c r="J13" i="6"/>
  <c r="F13" i="6"/>
  <c r="L12" i="6"/>
  <c r="J12" i="6"/>
  <c r="F12" i="6"/>
  <c r="L11" i="6"/>
  <c r="J11" i="6"/>
  <c r="F11" i="6"/>
  <c r="L10" i="6"/>
  <c r="J10" i="6"/>
  <c r="F10" i="6"/>
  <c r="Q9" i="6"/>
  <c r="L9" i="6"/>
  <c r="J9" i="6"/>
  <c r="F9" i="6"/>
  <c r="S8" i="6"/>
  <c r="L8" i="6"/>
  <c r="J8" i="6"/>
  <c r="F8" i="6"/>
  <c r="E8" i="6"/>
  <c r="S7" i="6"/>
  <c r="L7" i="6"/>
  <c r="J7" i="6"/>
  <c r="F7" i="6"/>
  <c r="E7" i="6"/>
  <c r="W6" i="6"/>
  <c r="S6" i="6"/>
  <c r="L6" i="6"/>
  <c r="J6" i="6"/>
  <c r="F6" i="6"/>
  <c r="E6" i="6"/>
  <c r="W5" i="6"/>
  <c r="S5" i="6"/>
  <c r="L5" i="6"/>
  <c r="J5" i="6"/>
  <c r="F5" i="6"/>
  <c r="E5" i="6"/>
  <c r="W4" i="6"/>
  <c r="S4" i="6"/>
  <c r="L4" i="6"/>
  <c r="J4" i="6"/>
  <c r="F4" i="6"/>
  <c r="E4" i="6"/>
  <c r="W3" i="6"/>
  <c r="S3" i="6"/>
  <c r="L3" i="6"/>
  <c r="J3" i="6"/>
  <c r="F3" i="6"/>
  <c r="E3" i="6"/>
  <c r="W2" i="6"/>
  <c r="S2" i="6"/>
  <c r="L2" i="6"/>
  <c r="J2" i="6"/>
  <c r="F2" i="6"/>
  <c r="E2" i="6"/>
  <c r="J32" i="5"/>
  <c r="F32" i="5"/>
  <c r="J31" i="5"/>
  <c r="F31" i="5"/>
  <c r="J30" i="5"/>
  <c r="F30" i="5"/>
  <c r="J29" i="5"/>
  <c r="F29" i="5"/>
  <c r="J28" i="5"/>
  <c r="F28" i="5"/>
  <c r="J27" i="5"/>
  <c r="F27" i="5"/>
  <c r="J26" i="5"/>
  <c r="F26" i="5"/>
  <c r="J25" i="5"/>
  <c r="F25" i="5"/>
  <c r="J24" i="5"/>
  <c r="F24" i="5"/>
  <c r="J23" i="5"/>
  <c r="F23" i="5"/>
  <c r="J22" i="5"/>
  <c r="F22" i="5"/>
  <c r="J21" i="5"/>
  <c r="F21" i="5"/>
  <c r="J20" i="5"/>
  <c r="F20" i="5"/>
  <c r="J19" i="5"/>
  <c r="F19" i="5"/>
  <c r="J18" i="5"/>
  <c r="F18" i="5"/>
  <c r="J17" i="5"/>
  <c r="F17" i="5"/>
  <c r="L16" i="5"/>
  <c r="J16" i="5"/>
  <c r="F16" i="5"/>
  <c r="J15" i="5"/>
  <c r="F15" i="5"/>
  <c r="J14" i="5"/>
  <c r="F14" i="5"/>
  <c r="J13" i="5"/>
  <c r="F13" i="5"/>
  <c r="L12" i="5"/>
  <c r="J12" i="5"/>
  <c r="F12" i="5"/>
  <c r="L11" i="5"/>
  <c r="J11" i="5"/>
  <c r="F11" i="5"/>
  <c r="L10" i="5"/>
  <c r="J10" i="5"/>
  <c r="F10" i="5"/>
  <c r="Q9" i="5"/>
  <c r="L9" i="5"/>
  <c r="J9" i="5"/>
  <c r="F9" i="5"/>
  <c r="S8" i="5"/>
  <c r="L8" i="5"/>
  <c r="J8" i="5"/>
  <c r="F8" i="5"/>
  <c r="E8" i="5"/>
  <c r="S7" i="5"/>
  <c r="L7" i="5"/>
  <c r="J7" i="5"/>
  <c r="F7" i="5"/>
  <c r="W6" i="5"/>
  <c r="S6" i="5"/>
  <c r="L6" i="5"/>
  <c r="J6" i="5"/>
  <c r="F6" i="5"/>
  <c r="E6" i="5"/>
  <c r="W5" i="5"/>
  <c r="S5" i="5"/>
  <c r="L5" i="5"/>
  <c r="J5" i="5"/>
  <c r="F5" i="5"/>
  <c r="E5" i="5"/>
  <c r="W4" i="5"/>
  <c r="S4" i="5"/>
  <c r="L4" i="5"/>
  <c r="J4" i="5"/>
  <c r="F4" i="5"/>
  <c r="E4" i="5"/>
  <c r="W3" i="5"/>
  <c r="S3" i="5"/>
  <c r="L3" i="5"/>
  <c r="J3" i="5"/>
  <c r="F3" i="5"/>
  <c r="E3" i="5"/>
  <c r="W2" i="5"/>
  <c r="S2" i="5"/>
  <c r="L2" i="5"/>
  <c r="J2" i="5"/>
  <c r="F2" i="5"/>
  <c r="E2" i="5"/>
  <c r="J32" i="4"/>
  <c r="F32" i="4"/>
  <c r="J31" i="4"/>
  <c r="G31" i="4"/>
  <c r="F31" i="4"/>
  <c r="J30" i="4"/>
  <c r="F30" i="4"/>
  <c r="J29" i="4"/>
  <c r="F29" i="4"/>
  <c r="J28" i="4"/>
  <c r="F28" i="4"/>
  <c r="J27" i="4"/>
  <c r="F27" i="4"/>
  <c r="J26" i="4"/>
  <c r="F26" i="4"/>
  <c r="J25" i="4"/>
  <c r="F25" i="4"/>
  <c r="J24" i="4"/>
  <c r="F24" i="4"/>
  <c r="J23" i="4"/>
  <c r="F23" i="4"/>
  <c r="J22" i="4"/>
  <c r="F22" i="4"/>
  <c r="J21" i="4"/>
  <c r="F21" i="4"/>
  <c r="J20" i="4"/>
  <c r="F20" i="4"/>
  <c r="J19" i="4"/>
  <c r="F19" i="4"/>
  <c r="J18" i="4"/>
  <c r="F18" i="4"/>
  <c r="J17" i="4"/>
  <c r="F17" i="4"/>
  <c r="L16" i="4"/>
  <c r="J16" i="4"/>
  <c r="F16" i="4"/>
  <c r="J15" i="4"/>
  <c r="F15" i="4"/>
  <c r="J14" i="4"/>
  <c r="F14" i="4"/>
  <c r="J13" i="4"/>
  <c r="F13" i="4"/>
  <c r="L12" i="4"/>
  <c r="J12" i="4"/>
  <c r="F12" i="4"/>
  <c r="L11" i="4"/>
  <c r="J11" i="4"/>
  <c r="F11" i="4"/>
  <c r="L10" i="4"/>
  <c r="J10" i="4"/>
  <c r="F10" i="4"/>
  <c r="Q9" i="4"/>
  <c r="L9" i="4"/>
  <c r="J9" i="4"/>
  <c r="F9" i="4"/>
  <c r="S8" i="4"/>
  <c r="L8" i="4"/>
  <c r="J8" i="4"/>
  <c r="F8" i="4"/>
  <c r="E8" i="4"/>
  <c r="S7" i="4"/>
  <c r="L7" i="4"/>
  <c r="J7" i="4"/>
  <c r="F7" i="4"/>
  <c r="E7" i="4"/>
  <c r="W6" i="4"/>
  <c r="S6" i="4"/>
  <c r="L6" i="4"/>
  <c r="J6" i="4"/>
  <c r="F6" i="4"/>
  <c r="E6" i="4"/>
  <c r="W5" i="4"/>
  <c r="S5" i="4"/>
  <c r="L5" i="4"/>
  <c r="J5" i="4"/>
  <c r="F5" i="4"/>
  <c r="E5" i="4"/>
  <c r="W4" i="4"/>
  <c r="S4" i="4"/>
  <c r="L4" i="4"/>
  <c r="J4" i="4"/>
  <c r="F4" i="4"/>
  <c r="E4" i="4"/>
  <c r="W3" i="4"/>
  <c r="S3" i="4"/>
  <c r="L3" i="4"/>
  <c r="J3" i="4"/>
  <c r="F3" i="4"/>
  <c r="E3" i="4"/>
  <c r="W2" i="4"/>
  <c r="S2" i="4"/>
  <c r="L2" i="4"/>
  <c r="J2" i="4"/>
  <c r="F2" i="4"/>
  <c r="E2" i="4"/>
  <c r="J32" i="3"/>
  <c r="F32" i="3"/>
  <c r="J31" i="3"/>
  <c r="F31" i="3"/>
  <c r="J30" i="3"/>
  <c r="F30" i="3"/>
  <c r="J29" i="3"/>
  <c r="F29" i="3"/>
  <c r="J28" i="3"/>
  <c r="F28" i="3"/>
  <c r="J27" i="3"/>
  <c r="F27" i="3"/>
  <c r="J26" i="3"/>
  <c r="F26" i="3"/>
  <c r="J25" i="3"/>
  <c r="F25" i="3"/>
  <c r="J24" i="3"/>
  <c r="F24" i="3"/>
  <c r="J23" i="3"/>
  <c r="F23" i="3"/>
  <c r="J22" i="3"/>
  <c r="F22" i="3"/>
  <c r="J21" i="3"/>
  <c r="F21" i="3"/>
  <c r="J20" i="3"/>
  <c r="F20" i="3"/>
  <c r="J19" i="3"/>
  <c r="F19" i="3"/>
  <c r="J18" i="3"/>
  <c r="F18" i="3"/>
  <c r="J17" i="3"/>
  <c r="F17" i="3"/>
  <c r="L16" i="3"/>
  <c r="J16" i="3"/>
  <c r="F16" i="3"/>
  <c r="J15" i="3"/>
  <c r="F15" i="3"/>
  <c r="J14" i="3"/>
  <c r="F14" i="3"/>
  <c r="J13" i="3"/>
  <c r="F13" i="3"/>
  <c r="L12" i="3"/>
  <c r="J12" i="3"/>
  <c r="F12" i="3"/>
  <c r="L11" i="3"/>
  <c r="J11" i="3"/>
  <c r="F11" i="3"/>
  <c r="L10" i="3"/>
  <c r="J10" i="3"/>
  <c r="F10" i="3"/>
  <c r="Q9" i="3"/>
  <c r="L9" i="3"/>
  <c r="J9" i="3"/>
  <c r="F9" i="3"/>
  <c r="S8" i="3"/>
  <c r="L8" i="3"/>
  <c r="J8" i="3"/>
  <c r="F8" i="3"/>
  <c r="S7" i="3"/>
  <c r="L7" i="3"/>
  <c r="J7" i="3"/>
  <c r="F7" i="3"/>
  <c r="S6" i="3"/>
  <c r="L6" i="3"/>
  <c r="J6" i="3"/>
  <c r="F6" i="3"/>
  <c r="S5" i="3"/>
  <c r="L5" i="3"/>
  <c r="J5" i="3"/>
  <c r="F5" i="3"/>
  <c r="S4" i="3"/>
  <c r="L4" i="3"/>
  <c r="J4" i="3"/>
  <c r="F4" i="3"/>
  <c r="S3" i="3"/>
  <c r="L3" i="3"/>
  <c r="J3" i="3"/>
  <c r="F3" i="3"/>
  <c r="E3" i="3"/>
  <c r="S2" i="3"/>
  <c r="L2" i="3"/>
  <c r="J2" i="3"/>
  <c r="F2" i="3"/>
  <c r="E2" i="3"/>
  <c r="E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Q9" i="1"/>
  <c r="S3" i="1"/>
  <c r="S4" i="1"/>
  <c r="S5" i="1"/>
  <c r="S6" i="1"/>
  <c r="S7" i="1"/>
  <c r="S8" i="1"/>
  <c r="J9" i="1"/>
  <c r="L9" i="1"/>
  <c r="S2" i="1"/>
  <c r="W6" i="1"/>
  <c r="W2" i="1"/>
  <c r="W3" i="1"/>
  <c r="W4" i="1"/>
  <c r="W5" i="1"/>
  <c r="L12" i="1"/>
  <c r="L11" i="1"/>
  <c r="L7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12" i="1"/>
  <c r="J3" i="1"/>
  <c r="J4" i="1"/>
  <c r="J5" i="1"/>
  <c r="J6" i="1"/>
  <c r="J7" i="1"/>
  <c r="J8" i="1"/>
  <c r="J10" i="1"/>
  <c r="J11" i="1"/>
  <c r="J2" i="1"/>
  <c r="L16" i="1"/>
  <c r="L3" i="1"/>
  <c r="L4" i="1"/>
  <c r="L5" i="1"/>
  <c r="L6" i="1"/>
  <c r="L8" i="1"/>
  <c r="L10" i="1"/>
  <c r="L2" i="1"/>
  <c r="N29" i="8" l="1"/>
  <c r="G13" i="9"/>
  <c r="G31" i="8"/>
  <c r="G29" i="8"/>
  <c r="G30" i="8"/>
  <c r="G26" i="7"/>
  <c r="N28" i="7"/>
  <c r="N32" i="4"/>
  <c r="N29" i="6"/>
  <c r="G30" i="6"/>
  <c r="N31" i="4"/>
  <c r="N14" i="6"/>
  <c r="G17" i="5"/>
  <c r="N2" i="6"/>
  <c r="E4" i="1"/>
  <c r="G28" i="8"/>
  <c r="N27" i="8"/>
  <c r="G14" i="4"/>
  <c r="N27" i="9"/>
  <c r="N30" i="4"/>
  <c r="G30" i="4"/>
  <c r="N24" i="4"/>
  <c r="G12" i="4"/>
  <c r="G2" i="4"/>
  <c r="E6" i="1"/>
  <c r="E6" i="3"/>
  <c r="E4" i="3"/>
  <c r="G15" i="3"/>
  <c r="G13" i="3"/>
  <c r="N5" i="3"/>
  <c r="E8" i="3"/>
  <c r="E5" i="3"/>
  <c r="E7" i="3"/>
  <c r="G26" i="9"/>
  <c r="N25" i="9"/>
  <c r="G25" i="9"/>
  <c r="N24" i="9"/>
  <c r="G24" i="9"/>
  <c r="N23" i="9"/>
  <c r="G23" i="9"/>
  <c r="N22" i="9"/>
  <c r="G22" i="9"/>
  <c r="N21" i="9"/>
  <c r="G21" i="9"/>
  <c r="N20" i="9"/>
  <c r="G20" i="9"/>
  <c r="N19" i="9"/>
  <c r="G19" i="9"/>
  <c r="N18" i="9"/>
  <c r="G18" i="9"/>
  <c r="N17" i="9"/>
  <c r="G17" i="9"/>
  <c r="N16" i="9"/>
  <c r="G16" i="9"/>
  <c r="N15" i="9"/>
  <c r="G15" i="9"/>
  <c r="N14" i="9"/>
  <c r="G14" i="9"/>
  <c r="N13" i="9"/>
  <c r="N12" i="9"/>
  <c r="G12" i="9"/>
  <c r="N11" i="9"/>
  <c r="G11" i="9"/>
  <c r="N10" i="9"/>
  <c r="G10" i="9"/>
  <c r="N9" i="9"/>
  <c r="G9" i="9"/>
  <c r="N8" i="9"/>
  <c r="G8" i="9"/>
  <c r="W7" i="9"/>
  <c r="N7" i="9"/>
  <c r="G7" i="9"/>
  <c r="N6" i="9"/>
  <c r="G6" i="9"/>
  <c r="N5" i="9"/>
  <c r="G5" i="9"/>
  <c r="N4" i="9"/>
  <c r="G4" i="9"/>
  <c r="N3" i="9"/>
  <c r="G3" i="9"/>
  <c r="N2" i="9"/>
  <c r="G2" i="9"/>
  <c r="N30" i="9"/>
  <c r="G30" i="9"/>
  <c r="G28" i="9"/>
  <c r="G27" i="9"/>
  <c r="N26" i="9"/>
  <c r="N32" i="9"/>
  <c r="G32" i="9"/>
  <c r="N31" i="9"/>
  <c r="G31" i="9"/>
  <c r="N29" i="9"/>
  <c r="G29" i="9"/>
  <c r="N28" i="9"/>
  <c r="N32" i="8"/>
  <c r="N26" i="8"/>
  <c r="G26" i="8"/>
  <c r="N25" i="8"/>
  <c r="G25" i="8"/>
  <c r="N24" i="8"/>
  <c r="G24" i="8"/>
  <c r="N23" i="8"/>
  <c r="G23" i="8"/>
  <c r="N22" i="8"/>
  <c r="G22" i="8"/>
  <c r="N21" i="8"/>
  <c r="G21" i="8"/>
  <c r="N20" i="8"/>
  <c r="G20" i="8"/>
  <c r="N19" i="8"/>
  <c r="G19" i="8"/>
  <c r="N18" i="8"/>
  <c r="G18" i="8"/>
  <c r="N17" i="8"/>
  <c r="G17" i="8"/>
  <c r="N16" i="8"/>
  <c r="G16" i="8"/>
  <c r="N15" i="8"/>
  <c r="G15" i="8"/>
  <c r="N14" i="8"/>
  <c r="G14" i="8"/>
  <c r="N13" i="8"/>
  <c r="G13" i="8"/>
  <c r="N12" i="8"/>
  <c r="G12" i="8"/>
  <c r="N11" i="8"/>
  <c r="G11" i="8"/>
  <c r="N10" i="8"/>
  <c r="G10" i="8"/>
  <c r="N9" i="8"/>
  <c r="G9" i="8"/>
  <c r="N8" i="8"/>
  <c r="G8" i="8"/>
  <c r="W7" i="8"/>
  <c r="N7" i="8"/>
  <c r="G5" i="8"/>
  <c r="N4" i="8"/>
  <c r="G2" i="8"/>
  <c r="G32" i="8"/>
  <c r="N31" i="8"/>
  <c r="N28" i="8"/>
  <c r="E7" i="8"/>
  <c r="G7" i="8" s="1"/>
  <c r="N6" i="8"/>
  <c r="G6" i="8"/>
  <c r="N5" i="8"/>
  <c r="N30" i="8"/>
  <c r="E4" i="8"/>
  <c r="G4" i="8" s="1"/>
  <c r="N3" i="8"/>
  <c r="G3" i="8"/>
  <c r="N2" i="8"/>
  <c r="N27" i="7"/>
  <c r="N22" i="7"/>
  <c r="G22" i="7"/>
  <c r="N21" i="7"/>
  <c r="G21" i="7"/>
  <c r="N20" i="7"/>
  <c r="G20" i="7"/>
  <c r="N19" i="7"/>
  <c r="G19" i="7"/>
  <c r="N18" i="7"/>
  <c r="G18" i="7"/>
  <c r="N12" i="7"/>
  <c r="G12" i="7"/>
  <c r="N11" i="7"/>
  <c r="W7" i="7"/>
  <c r="G6" i="7"/>
  <c r="N5" i="7"/>
  <c r="G5" i="7"/>
  <c r="N4" i="7"/>
  <c r="E4" i="7"/>
  <c r="G4" i="7" s="1"/>
  <c r="N3" i="7"/>
  <c r="N32" i="7"/>
  <c r="G32" i="7"/>
  <c r="N31" i="7"/>
  <c r="G31" i="7"/>
  <c r="N30" i="7"/>
  <c r="G28" i="7"/>
  <c r="N23" i="7"/>
  <c r="G23" i="7"/>
  <c r="N17" i="7"/>
  <c r="G17" i="7"/>
  <c r="N16" i="7"/>
  <c r="G16" i="7"/>
  <c r="N15" i="7"/>
  <c r="G15" i="7"/>
  <c r="N14" i="7"/>
  <c r="G14" i="7"/>
  <c r="N13" i="7"/>
  <c r="G13" i="7"/>
  <c r="G11" i="7"/>
  <c r="N10" i="7"/>
  <c r="G10" i="7"/>
  <c r="N9" i="7"/>
  <c r="G9" i="7"/>
  <c r="N8" i="7"/>
  <c r="G8" i="7"/>
  <c r="N7" i="7"/>
  <c r="N6" i="7"/>
  <c r="G3" i="7"/>
  <c r="N2" i="7"/>
  <c r="G2" i="7"/>
  <c r="G30" i="7"/>
  <c r="N29" i="7"/>
  <c r="G29" i="7"/>
  <c r="G27" i="7"/>
  <c r="N26" i="7"/>
  <c r="N25" i="7"/>
  <c r="G25" i="7"/>
  <c r="N24" i="7"/>
  <c r="G24" i="7"/>
  <c r="G7" i="7"/>
  <c r="N20" i="6"/>
  <c r="N16" i="6"/>
  <c r="N15" i="6"/>
  <c r="G14" i="6"/>
  <c r="N13" i="6"/>
  <c r="G12" i="6"/>
  <c r="G24" i="6"/>
  <c r="G16" i="6"/>
  <c r="N11" i="6"/>
  <c r="G11" i="6"/>
  <c r="N10" i="6"/>
  <c r="G10" i="6"/>
  <c r="N9" i="6"/>
  <c r="G9" i="6"/>
  <c r="N8" i="6"/>
  <c r="G8" i="6"/>
  <c r="W7" i="6"/>
  <c r="N7" i="6"/>
  <c r="G7" i="6"/>
  <c r="N6" i="6"/>
  <c r="G6" i="6"/>
  <c r="N5" i="6"/>
  <c r="G5" i="6"/>
  <c r="N4" i="6"/>
  <c r="N3" i="6"/>
  <c r="G3" i="6"/>
  <c r="G2" i="6"/>
  <c r="N32" i="6"/>
  <c r="G32" i="6"/>
  <c r="N31" i="6"/>
  <c r="G31" i="6"/>
  <c r="N30" i="6"/>
  <c r="G29" i="6"/>
  <c r="N28" i="6"/>
  <c r="G28" i="6"/>
  <c r="N27" i="6"/>
  <c r="G27" i="6"/>
  <c r="N26" i="6"/>
  <c r="G26" i="6"/>
  <c r="G25" i="6"/>
  <c r="N24" i="6"/>
  <c r="N18" i="6"/>
  <c r="N17" i="6"/>
  <c r="G17" i="6"/>
  <c r="G13" i="6"/>
  <c r="N25" i="6"/>
  <c r="N23" i="6"/>
  <c r="G23" i="6"/>
  <c r="N22" i="6"/>
  <c r="G22" i="6"/>
  <c r="N21" i="6"/>
  <c r="G21" i="6"/>
  <c r="G20" i="6"/>
  <c r="N19" i="6"/>
  <c r="G19" i="6"/>
  <c r="G18" i="6"/>
  <c r="N12" i="6"/>
  <c r="G4" i="6"/>
  <c r="G15" i="6"/>
  <c r="N32" i="5"/>
  <c r="G32" i="5"/>
  <c r="N31" i="5"/>
  <c r="G31" i="5"/>
  <c r="N30" i="5"/>
  <c r="G30" i="5"/>
  <c r="N29" i="5"/>
  <c r="G29" i="5"/>
  <c r="N28" i="5"/>
  <c r="G28" i="5"/>
  <c r="N27" i="5"/>
  <c r="G27" i="5"/>
  <c r="N26" i="5"/>
  <c r="G26" i="5"/>
  <c r="N17" i="5"/>
  <c r="N15" i="5"/>
  <c r="N13" i="5"/>
  <c r="G13" i="5"/>
  <c r="N10" i="5"/>
  <c r="G10" i="5"/>
  <c r="G8" i="5"/>
  <c r="N7" i="5"/>
  <c r="E7" i="5"/>
  <c r="G7" i="5" s="1"/>
  <c r="N4" i="5"/>
  <c r="G4" i="5"/>
  <c r="G3" i="5"/>
  <c r="N2" i="5"/>
  <c r="N25" i="5"/>
  <c r="G25" i="5"/>
  <c r="N24" i="5"/>
  <c r="G24" i="5"/>
  <c r="N23" i="5"/>
  <c r="G23" i="5"/>
  <c r="N22" i="5"/>
  <c r="N21" i="5"/>
  <c r="G21" i="5"/>
  <c r="N20" i="5"/>
  <c r="G20" i="5"/>
  <c r="N19" i="5"/>
  <c r="G19" i="5"/>
  <c r="N18" i="5"/>
  <c r="G18" i="5"/>
  <c r="N16" i="5"/>
  <c r="G16" i="5"/>
  <c r="G15" i="5"/>
  <c r="N14" i="5"/>
  <c r="G14" i="5"/>
  <c r="N12" i="5"/>
  <c r="G12" i="5"/>
  <c r="N11" i="5"/>
  <c r="G11" i="5"/>
  <c r="N9" i="5"/>
  <c r="G9" i="5"/>
  <c r="N8" i="5"/>
  <c r="W7" i="5"/>
  <c r="G6" i="5"/>
  <c r="G2" i="5"/>
  <c r="G22" i="5"/>
  <c r="N6" i="5"/>
  <c r="N5" i="5"/>
  <c r="G5" i="5"/>
  <c r="N3" i="5"/>
  <c r="N29" i="4"/>
  <c r="G29" i="4"/>
  <c r="N28" i="4"/>
  <c r="G28" i="4"/>
  <c r="N27" i="4"/>
  <c r="N15" i="4"/>
  <c r="N13" i="4"/>
  <c r="N11" i="4"/>
  <c r="N10" i="4"/>
  <c r="G10" i="4"/>
  <c r="N9" i="4"/>
  <c r="G9" i="4"/>
  <c r="W7" i="4"/>
  <c r="G3" i="4"/>
  <c r="N2" i="4"/>
  <c r="G27" i="4"/>
  <c r="N26" i="4"/>
  <c r="G26" i="4"/>
  <c r="N25" i="4"/>
  <c r="G25" i="4"/>
  <c r="N4" i="4"/>
  <c r="G24" i="4"/>
  <c r="N23" i="4"/>
  <c r="G23" i="4"/>
  <c r="N22" i="4"/>
  <c r="G22" i="4"/>
  <c r="G15" i="4"/>
  <c r="N14" i="4"/>
  <c r="G13" i="4"/>
  <c r="N12" i="4"/>
  <c r="N8" i="4"/>
  <c r="G8" i="4"/>
  <c r="N7" i="4"/>
  <c r="G7" i="4"/>
  <c r="N5" i="4"/>
  <c r="G4" i="4"/>
  <c r="N21" i="4"/>
  <c r="G21" i="4"/>
  <c r="N20" i="4"/>
  <c r="G20" i="4"/>
  <c r="N19" i="4"/>
  <c r="G19" i="4"/>
  <c r="N18" i="4"/>
  <c r="G18" i="4"/>
  <c r="N17" i="4"/>
  <c r="G17" i="4"/>
  <c r="N16" i="4"/>
  <c r="G16" i="4"/>
  <c r="G11" i="4"/>
  <c r="N6" i="4"/>
  <c r="G6" i="4"/>
  <c r="G5" i="4"/>
  <c r="N3" i="4"/>
  <c r="G32" i="4"/>
  <c r="N32" i="3"/>
  <c r="G32" i="3"/>
  <c r="N31" i="3"/>
  <c r="G31" i="3"/>
  <c r="G28" i="3"/>
  <c r="N27" i="3"/>
  <c r="G27" i="3"/>
  <c r="G19" i="3"/>
  <c r="N30" i="3"/>
  <c r="G30" i="3"/>
  <c r="N29" i="3"/>
  <c r="G29" i="3"/>
  <c r="N28" i="3"/>
  <c r="N4" i="3"/>
  <c r="G4" i="3"/>
  <c r="N26" i="3"/>
  <c r="G26" i="3"/>
  <c r="N25" i="3"/>
  <c r="G25" i="3"/>
  <c r="N24" i="3"/>
  <c r="G24" i="3"/>
  <c r="N23" i="3"/>
  <c r="G23" i="3"/>
  <c r="N22" i="3"/>
  <c r="G22" i="3"/>
  <c r="N21" i="3"/>
  <c r="G21" i="3"/>
  <c r="G20" i="3"/>
  <c r="N19" i="3"/>
  <c r="N6" i="3"/>
  <c r="N3" i="3"/>
  <c r="N2" i="3"/>
  <c r="N20" i="3"/>
  <c r="N18" i="3"/>
  <c r="G18" i="3"/>
  <c r="N17" i="3"/>
  <c r="G17" i="3"/>
  <c r="N16" i="3"/>
  <c r="G16" i="3"/>
  <c r="N15" i="3"/>
  <c r="G14" i="3"/>
  <c r="N13" i="3"/>
  <c r="N7" i="3"/>
  <c r="N14" i="3"/>
  <c r="N12" i="3"/>
  <c r="G12" i="3"/>
  <c r="N11" i="3"/>
  <c r="N9" i="3"/>
  <c r="G9" i="3"/>
  <c r="N8" i="3"/>
  <c r="G2" i="3"/>
  <c r="G11" i="3"/>
  <c r="N10" i="3"/>
  <c r="G10" i="3"/>
  <c r="W7" i="3"/>
  <c r="G3" i="3"/>
  <c r="G9" i="1"/>
  <c r="G11" i="1"/>
  <c r="G26" i="1"/>
  <c r="E7" i="1"/>
  <c r="E8" i="1"/>
  <c r="G10" i="1"/>
  <c r="E3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E2" i="1"/>
  <c r="G2" i="1" s="1"/>
  <c r="G5" i="1"/>
  <c r="G7" i="1"/>
  <c r="G8" i="1"/>
  <c r="N9" i="1"/>
  <c r="W7" i="1"/>
  <c r="N3" i="1"/>
  <c r="N4" i="1"/>
  <c r="N5" i="1"/>
  <c r="N6" i="1"/>
  <c r="N7" i="1"/>
  <c r="N8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N10" i="1"/>
  <c r="N19" i="1"/>
  <c r="G6" i="3" l="1"/>
  <c r="G6" i="1"/>
  <c r="G4" i="1"/>
  <c r="G7" i="3"/>
  <c r="G8" i="3"/>
  <c r="G5" i="3"/>
  <c r="G3" i="1"/>
</calcChain>
</file>

<file path=xl/sharedStrings.xml><?xml version="1.0" encoding="utf-8"?>
<sst xmlns="http://schemas.openxmlformats.org/spreadsheetml/2006/main" count="2157" uniqueCount="250">
  <si>
    <t>First Name</t>
  </si>
  <si>
    <t>Last Name</t>
  </si>
  <si>
    <t>Email</t>
  </si>
  <si>
    <t>Phone</t>
  </si>
  <si>
    <t>Total Points</t>
  </si>
  <si>
    <t>Abbi</t>
  </si>
  <si>
    <t>Sweet</t>
  </si>
  <si>
    <t>abbigaler@yahoo.com</t>
  </si>
  <si>
    <t>(360) 947-0933</t>
  </si>
  <si>
    <t>Albert</t>
  </si>
  <si>
    <t>Jamito</t>
  </si>
  <si>
    <t>albertjh2k@msn.com</t>
  </si>
  <si>
    <t>(360) 719-8906</t>
  </si>
  <si>
    <t>Angela</t>
  </si>
  <si>
    <t>Koontz</t>
  </si>
  <si>
    <t>Berta</t>
  </si>
  <si>
    <t>Allen</t>
  </si>
  <si>
    <t>bertadog@gmail.com</t>
  </si>
  <si>
    <t>(360) 450-1438</t>
  </si>
  <si>
    <t>Bill</t>
  </si>
  <si>
    <t>Baker</t>
  </si>
  <si>
    <t>Foley</t>
  </si>
  <si>
    <t>tomthumb69@yahoo.com</t>
  </si>
  <si>
    <t>Yentsch</t>
  </si>
  <si>
    <t>Brian</t>
  </si>
  <si>
    <t>Pennebaker</t>
  </si>
  <si>
    <t>pennebd@gmail.com</t>
  </si>
  <si>
    <t>(425) 286-4544</t>
  </si>
  <si>
    <t>Syfrett</t>
  </si>
  <si>
    <t>briansyfrett@gmail.com</t>
  </si>
  <si>
    <t>(360) 989-5638</t>
  </si>
  <si>
    <t>Bruce</t>
  </si>
  <si>
    <t>Knutson</t>
  </si>
  <si>
    <t>(858) 761-8830</t>
  </si>
  <si>
    <t>Carlie</t>
  </si>
  <si>
    <t>Sharling</t>
  </si>
  <si>
    <t>bkpatroncu@protonmail.com</t>
  </si>
  <si>
    <t>(975) 863-5214</t>
  </si>
  <si>
    <t>Chad</t>
  </si>
  <si>
    <t>Larsen</t>
  </si>
  <si>
    <t>chadelarsen@gmail.com</t>
  </si>
  <si>
    <t>(503) 804-2066</t>
  </si>
  <si>
    <t>Chris</t>
  </si>
  <si>
    <t>Imai</t>
  </si>
  <si>
    <t>chugluglug@yahoo.com</t>
  </si>
  <si>
    <t>(360) 910-3462</t>
  </si>
  <si>
    <t>Robbins</t>
  </si>
  <si>
    <t>ctrobbins70@gmail.com</t>
  </si>
  <si>
    <t>(850) 554-9720</t>
  </si>
  <si>
    <t>Christopher</t>
  </si>
  <si>
    <t>Hirsh</t>
  </si>
  <si>
    <t>christopher.hirsh@gmail.com</t>
  </si>
  <si>
    <t>(917) 573-4785</t>
  </si>
  <si>
    <t>Miles</t>
  </si>
  <si>
    <t>Woody</t>
  </si>
  <si>
    <t>chriswoody1968@gmail.com</t>
  </si>
  <si>
    <t>(503) 757-1693</t>
  </si>
  <si>
    <t>Cody</t>
  </si>
  <si>
    <t>Dempsey</t>
  </si>
  <si>
    <t>codydempsey81@gmail.com</t>
  </si>
  <si>
    <t>(360) 921-1627</t>
  </si>
  <si>
    <t>Glaess</t>
  </si>
  <si>
    <t>codebeng@gmail.com</t>
  </si>
  <si>
    <t>(541) 921-3011</t>
  </si>
  <si>
    <t>Cristina</t>
  </si>
  <si>
    <t>Miller</t>
  </si>
  <si>
    <t>cristinammiller@icloud.com</t>
  </si>
  <si>
    <t>(480) 688-2757</t>
  </si>
  <si>
    <t>Dan</t>
  </si>
  <si>
    <t>Grimani</t>
  </si>
  <si>
    <t>(777) 777-7777</t>
  </si>
  <si>
    <t>Pietila</t>
  </si>
  <si>
    <t>dan_pietila@yahoo.com</t>
  </si>
  <si>
    <t>(503) 791-9625</t>
  </si>
  <si>
    <t>Dave</t>
  </si>
  <si>
    <t>Morales</t>
  </si>
  <si>
    <t>d.morales23@yahoo.com</t>
  </si>
  <si>
    <t>(360) 609-6724</t>
  </si>
  <si>
    <t>David</t>
  </si>
  <si>
    <t>Philossof</t>
  </si>
  <si>
    <t>dpcountry46@gmail.com</t>
  </si>
  <si>
    <t>(360) 991-4837</t>
  </si>
  <si>
    <t>Dennis</t>
  </si>
  <si>
    <t>Mccord</t>
  </si>
  <si>
    <t>dennislmccord@duck.com</t>
  </si>
  <si>
    <t>(360) 921-2486</t>
  </si>
  <si>
    <t>Denny</t>
  </si>
  <si>
    <t>Wade</t>
  </si>
  <si>
    <t>Derek</t>
  </si>
  <si>
    <t>steerbully777@gmail.com</t>
  </si>
  <si>
    <t>(360) 772-9768</t>
  </si>
  <si>
    <t>Doug</t>
  </si>
  <si>
    <t>Berg</t>
  </si>
  <si>
    <t>dmberg2@comcast.net</t>
  </si>
  <si>
    <t>(360) 910-6884</t>
  </si>
  <si>
    <t>Evan</t>
  </si>
  <si>
    <t>Elliott</t>
  </si>
  <si>
    <t>(360) 726-8122</t>
  </si>
  <si>
    <t>Gabe</t>
  </si>
  <si>
    <t>gabelliott@gmail.com</t>
  </si>
  <si>
    <t>(503) 516-1643</t>
  </si>
  <si>
    <t>Guy</t>
  </si>
  <si>
    <t>Vider</t>
  </si>
  <si>
    <t>guy@guyvider.com</t>
  </si>
  <si>
    <t>(408) 550-6489</t>
  </si>
  <si>
    <t>James</t>
  </si>
  <si>
    <t>Marcy</t>
  </si>
  <si>
    <t>cjmary@gmail.com</t>
  </si>
  <si>
    <t>Patterson</t>
  </si>
  <si>
    <t>jmpaterson9@gmail.com</t>
  </si>
  <si>
    <t>Jason</t>
  </si>
  <si>
    <t>Hofbauer</t>
  </si>
  <si>
    <t>zagsfan78@gmail.com</t>
  </si>
  <si>
    <t>(360) 521-7129</t>
  </si>
  <si>
    <t>Jermaine</t>
  </si>
  <si>
    <t>Spino</t>
  </si>
  <si>
    <t>Johnathan</t>
  </si>
  <si>
    <t>Viloria</t>
  </si>
  <si>
    <t>Juanito</t>
  </si>
  <si>
    <t>Cunanan</t>
  </si>
  <si>
    <t>juanito.cunanan48@gmail.com</t>
  </si>
  <si>
    <t>Kacy</t>
  </si>
  <si>
    <t>Schlosser Buffum</t>
  </si>
  <si>
    <t>Katrina</t>
  </si>
  <si>
    <t>Hambleton</t>
  </si>
  <si>
    <t>katrinahambleton@yahoo.com</t>
  </si>
  <si>
    <t>Kerri</t>
  </si>
  <si>
    <t>Lind</t>
  </si>
  <si>
    <t>kerrilind70@gmail.com</t>
  </si>
  <si>
    <t>(360) 433-5524</t>
  </si>
  <si>
    <t>Luke</t>
  </si>
  <si>
    <t>Hewlett</t>
  </si>
  <si>
    <t>ljhewlett@gmail.com</t>
  </si>
  <si>
    <t>(520) 903-8228</t>
  </si>
  <si>
    <t>Lynn</t>
  </si>
  <si>
    <t>Villemyer</t>
  </si>
  <si>
    <t>lvillemyer@gmail.coml</t>
  </si>
  <si>
    <t>(360) 713-3806</t>
  </si>
  <si>
    <t>Mark</t>
  </si>
  <si>
    <t>Browning</t>
  </si>
  <si>
    <t>markbco@yahoo.com</t>
  </si>
  <si>
    <t>(360) 839-7734</t>
  </si>
  <si>
    <t>Tanner</t>
  </si>
  <si>
    <t>Mary</t>
  </si>
  <si>
    <t>Lind Handy</t>
  </si>
  <si>
    <t>Michelle</t>
  </si>
  <si>
    <t>Boyle</t>
  </si>
  <si>
    <t>Hanning</t>
  </si>
  <si>
    <t>mfrogger30@myctl.net</t>
  </si>
  <si>
    <t>(360) 624-7343</t>
  </si>
  <si>
    <t>Mihail</t>
  </si>
  <si>
    <t>Gizea</t>
  </si>
  <si>
    <t>gizea.v13@gmail.com</t>
  </si>
  <si>
    <t>(703) 940-2931</t>
  </si>
  <si>
    <t>Nichlas</t>
  </si>
  <si>
    <t>Priest</t>
  </si>
  <si>
    <t>Nick</t>
  </si>
  <si>
    <t>Stoltz</t>
  </si>
  <si>
    <t>dstoltz@gmail.com</t>
  </si>
  <si>
    <t>(702) 493-5485</t>
  </si>
  <si>
    <t>Paul</t>
  </si>
  <si>
    <t>Hollomon</t>
  </si>
  <si>
    <t>phhollo@aol.com</t>
  </si>
  <si>
    <t>(575) 644-1408</t>
  </si>
  <si>
    <t>Rachelle</t>
  </si>
  <si>
    <t>raeallenbooks@gmail.com</t>
  </si>
  <si>
    <t>(360) 980-3548</t>
  </si>
  <si>
    <t>Rita</t>
  </si>
  <si>
    <t>Turney</t>
  </si>
  <si>
    <t>Ron</t>
  </si>
  <si>
    <t>Hawkins</t>
  </si>
  <si>
    <t>hawkster101@hotmail.com</t>
  </si>
  <si>
    <t>(360) 910-1831</t>
  </si>
  <si>
    <t>Ryan</t>
  </si>
  <si>
    <t>Buell</t>
  </si>
  <si>
    <t>ryanbuell15@gmail.com</t>
  </si>
  <si>
    <t>(360) 989-4050</t>
  </si>
  <si>
    <t>Sean</t>
  </si>
  <si>
    <t>Manley</t>
  </si>
  <si>
    <t>Sebastian</t>
  </si>
  <si>
    <t>Osorio</t>
  </si>
  <si>
    <t>Shawn</t>
  </si>
  <si>
    <t>Cagle</t>
  </si>
  <si>
    <t>Steve</t>
  </si>
  <si>
    <t>steve@wheelkraftnw.com</t>
  </si>
  <si>
    <t>smhanning@myctl.net</t>
  </si>
  <si>
    <t>(360) 624-8739</t>
  </si>
  <si>
    <t>Terri</t>
  </si>
  <si>
    <t>Angell</t>
  </si>
  <si>
    <t>terter59@gmail.com</t>
  </si>
  <si>
    <t>(360) 901-5768</t>
  </si>
  <si>
    <t>Test</t>
  </si>
  <si>
    <t>Sample</t>
  </si>
  <si>
    <t>Thomas</t>
  </si>
  <si>
    <t>Scharf</t>
  </si>
  <si>
    <t>(360) 989-7370</t>
  </si>
  <si>
    <t>Tiffany</t>
  </si>
  <si>
    <t>Field</t>
  </si>
  <si>
    <t>fieldtjean@gmail.com</t>
  </si>
  <si>
    <t>(702) 665-3555</t>
  </si>
  <si>
    <t>Tim</t>
  </si>
  <si>
    <t>Hufler</t>
  </si>
  <si>
    <t>thufler@gmail.com</t>
  </si>
  <si>
    <t>(360) 869-2538</t>
  </si>
  <si>
    <t>Tom</t>
  </si>
  <si>
    <t>Colemon</t>
  </si>
  <si>
    <t>t.e.scharf@gmail.com</t>
  </si>
  <si>
    <t>Tony</t>
  </si>
  <si>
    <t>Slaven</t>
  </si>
  <si>
    <t>arskaven@gmail.com</t>
  </si>
  <si>
    <t>(360) 607-8596</t>
  </si>
  <si>
    <t>Tory</t>
  </si>
  <si>
    <t>Thom</t>
  </si>
  <si>
    <t>Travis</t>
  </si>
  <si>
    <t>Trent</t>
  </si>
  <si>
    <t>Sundvick</t>
  </si>
  <si>
    <t>Wendy</t>
  </si>
  <si>
    <t>Bumgardner</t>
  </si>
  <si>
    <t>walking@teleport.com</t>
  </si>
  <si>
    <t>(503) 799-1004</t>
  </si>
  <si>
    <t>Zac</t>
  </si>
  <si>
    <t>Place</t>
  </si>
  <si>
    <t>bounties</t>
  </si>
  <si>
    <t>on time/ RSVP</t>
  </si>
  <si>
    <t>position points</t>
  </si>
  <si>
    <t>x 3 points</t>
  </si>
  <si>
    <t>Total Position Points</t>
  </si>
  <si>
    <t>TOTAL POINTS</t>
  </si>
  <si>
    <t>multiplier</t>
  </si>
  <si>
    <t>formula</t>
  </si>
  <si>
    <t xml:space="preserve"> RSVP and Play 10 points</t>
  </si>
  <si>
    <t>Season 4 points RSVP and Play 10 points  Bounty Chips 2 ( Bounty Hunter Game 6) Final Table Double Position Points Winner Triple Position Points</t>
  </si>
  <si>
    <t>Finishing Position 1 point per, same as last season</t>
  </si>
  <si>
    <t xml:space="preserve"> Bounty Chips 3 ( Bounty Hunter Game 6)</t>
  </si>
  <si>
    <t>1st</t>
  </si>
  <si>
    <t>2nd</t>
  </si>
  <si>
    <t>3rd</t>
  </si>
  <si>
    <t>4th</t>
  </si>
  <si>
    <t>5th</t>
  </si>
  <si>
    <t>6th</t>
  </si>
  <si>
    <t>7th</t>
  </si>
  <si>
    <t>Buy-in</t>
  </si>
  <si>
    <t>ToC</t>
  </si>
  <si>
    <t>Bounty</t>
  </si>
  <si>
    <t>High Hand</t>
  </si>
  <si>
    <t>prize pool</t>
  </si>
  <si>
    <t>add-ons</t>
  </si>
  <si>
    <t>Prize Pool</t>
  </si>
  <si>
    <t>PAID</t>
  </si>
  <si>
    <t>TOTAL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</si>
</sst>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80809"/>
      <name val="Inherit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vertical="center" wrapText="1"/>
    </xf>
    <xf numFmtId="9" fontId="0" fillId="0" borderId="0" xfId="0" applyNumberFormat="1"/>
    <xf numFmtId="0" fontId="0" fillId="0" borderId="14" xfId="0" applyBorder="1"/>
    <xf numFmtId="164" fontId="0" fillId="0" borderId="0" xfId="0" applyNumberFormat="1"/>
    <xf numFmtId="164" fontId="16" fillId="0" borderId="15" xfId="0" applyNumberFormat="1" applyFont="1" applyBorder="1"/>
    <xf numFmtId="1" fontId="0" fillId="0" borderId="0" xfId="0" applyNumberFormat="1" applyAlignment="1">
      <alignment horizontal="right"/>
    </xf>
    <xf numFmtId="0" fontId="0" fillId="33" borderId="0" xfId="0" applyFill="1"/>
    <xf numFmtId="164" fontId="0" fillId="33" borderId="0" xfId="0" applyNumberFormat="1" applyFill="1"/>
    <xf numFmtId="9" fontId="0" fillId="33" borderId="0" xfId="0" applyNumberFormat="1" applyFill="1"/>
    <xf numFmtId="1" fontId="0" fillId="33" borderId="0" xfId="0" applyNumberFormat="1" applyFill="1" applyAlignment="1">
      <alignment horizontal="right"/>
    </xf>
    <xf numFmtId="0" fontId="0" fillId="33" borderId="11" xfId="0" applyFill="1" applyBorder="1"/>
    <xf numFmtId="164" fontId="0" fillId="33" borderId="12" xfId="0" applyNumberFormat="1" applyFill="1" applyBorder="1"/>
    <xf numFmtId="164" fontId="16" fillId="33" borderId="13" xfId="0" applyNumberFormat="1" applyFont="1" applyFill="1" applyBorder="1"/>
    <xf numFmtId="0" fontId="0" fillId="33" borderId="16" xfId="0" applyFill="1" applyBorder="1"/>
    <xf numFmtId="0" fontId="0" fillId="33" borderId="10" xfId="0" applyFill="1" applyBorder="1"/>
    <xf numFmtId="164" fontId="16" fillId="33" borderId="17" xfId="0" applyNumberFormat="1" applyFont="1" applyFill="1" applyBorder="1"/>
    <xf numFmtId="164" fontId="0" fillId="33" borderId="10" xfId="0" applyNumberFormat="1" applyFill="1" applyBorder="1"/>
    <xf numFmtId="1" fontId="0" fillId="33" borderId="10" xfId="0" applyNumberFormat="1" applyFill="1" applyBorder="1" applyAlignment="1">
      <alignment horizontal="righ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164" fontId="16" fillId="0" borderId="10" xfId="0" applyNumberFormat="1" applyFont="1" applyBorder="1"/>
    <xf numFmtId="1" fontId="16" fillId="0" borderId="1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57A6-2A8E-41AA-8945-29F665AB0C07}">
  <dimension ref="A1:Z74"/>
  <sheetViews>
    <sheetView zoomScaleNormal="100" workbookViewId="0">
      <selection activeCell="A11" sqref="A11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sortState xmlns:xlrd2="http://schemas.microsoft.com/office/spreadsheetml/2017/richdata2" ref="A2:K74">
    <sortCondition ref="D1:D74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9268-4E70-484B-A3FF-8C64EAC60AA4}">
  <dimension ref="A1:Z74"/>
  <sheetViews>
    <sheetView tabSelected="1" zoomScaleNormal="100" workbookViewId="0">
      <selection activeCell="A2" sqref="A2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31F9-5780-4525-844B-ECFF29A265A3}">
  <dimension ref="A1:Z74"/>
  <sheetViews>
    <sheetView topLeftCell="B1" zoomScaleNormal="100" workbookViewId="0">
      <selection activeCell="Y1" sqref="Y1:Y1048576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61A4-6E74-4945-90E0-16C58ABA1142}">
  <dimension ref="A1:Z74"/>
  <sheetViews>
    <sheetView topLeftCell="B1" zoomScaleNormal="100" workbookViewId="0">
      <selection activeCell="Y1" sqref="Y1:Y1048576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3FFB-C9EF-4709-A458-2127C768F13E}">
  <dimension ref="A1:Z74"/>
  <sheetViews>
    <sheetView topLeftCell="F1" zoomScale="115" zoomScaleNormal="115" workbookViewId="0">
      <selection activeCell="J28" sqref="J28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7BB-C4B4-4506-B79F-5B1433FDDDF7}">
  <dimension ref="A1:Z74"/>
  <sheetViews>
    <sheetView topLeftCell="F1" zoomScale="115" zoomScaleNormal="115" workbookViewId="0">
      <selection activeCell="J28" sqref="J28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8CCA-5A51-47CB-8C0F-1879D51DF873}">
  <dimension ref="A1:Z74"/>
  <sheetViews>
    <sheetView topLeftCell="F1" zoomScale="115" zoomScaleNormal="115" workbookViewId="0">
      <selection activeCell="J28" sqref="J28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0031-330E-4B50-8122-245A42E37628}">
  <dimension ref="A1:Z74"/>
  <sheetViews>
    <sheetView topLeftCell="F1" zoomScale="115" zoomScaleNormal="115" workbookViewId="0">
      <selection activeCell="J28" sqref="J28"/>
    </sheetView>
  </sheetViews>
  <sheetFormatPr defaultRowHeight="14.5"/>
  <cols>
    <col min="1" max="1" width="10.36328125" bestFit="1" customWidth="1"/>
    <col min="2" max="2" width="14.90625" bestFit="1" customWidth="1"/>
    <col min="3" max="3" width="10.54296875" style="19" bestFit="1" customWidth="1"/>
    <col min="4" max="4" width="5.453125" style="19" bestFit="1" customWidth="1"/>
    <col min="5" max="6" width="8.7265625" style="4" customWidth="1"/>
    <col min="7" max="7" width="10" style="4" bestFit="1" customWidth="1"/>
    <col min="8" max="8" width="13.36328125" style="19" bestFit="1" customWidth="1"/>
    <col min="9" max="9" width="9.08984375" style="19" customWidth="1"/>
    <col min="10" max="10" width="17.90625" style="19" bestFit="1" customWidth="1"/>
    <col min="11" max="11" width="8.1796875" style="19" bestFit="1" customWidth="1"/>
    <col min="12" max="12" width="8.7265625" style="19" bestFit="1" customWidth="1"/>
    <col min="13" max="13" width="12.6328125" bestFit="1" customWidth="1"/>
    <col min="14" max="14" width="12.453125" bestFit="1" customWidth="1"/>
    <col min="16" max="16" width="3.81640625" bestFit="1" customWidth="1"/>
    <col min="17" max="17" width="5.36328125" bestFit="1" customWidth="1"/>
    <col min="18" max="18" width="8.90625" bestFit="1" customWidth="1"/>
    <col min="19" max="19" width="4.81640625" style="6" bestFit="1" customWidth="1"/>
    <col min="21" max="21" width="9.08984375" bestFit="1" customWidth="1"/>
    <col min="22" max="22" width="3.81640625" bestFit="1" customWidth="1"/>
    <col min="23" max="23" width="6.36328125" bestFit="1" customWidth="1"/>
    <col min="25" max="25" width="26.36328125" bestFit="1" customWidth="1"/>
    <col min="26" max="26" width="14.453125" customWidth="1"/>
  </cols>
  <sheetData>
    <row r="1" spans="1:26" s="22" customFormat="1" ht="15" thickBot="1">
      <c r="A1" s="22" t="s">
        <v>0</v>
      </c>
      <c r="B1" s="22" t="s">
        <v>1</v>
      </c>
      <c r="C1" s="23" t="s">
        <v>4</v>
      </c>
      <c r="D1" s="23" t="s">
        <v>221</v>
      </c>
      <c r="E1" s="24" t="s">
        <v>248</v>
      </c>
      <c r="F1" s="24" t="s">
        <v>222</v>
      </c>
      <c r="G1" s="24" t="s">
        <v>249</v>
      </c>
      <c r="H1" s="23" t="s">
        <v>224</v>
      </c>
      <c r="I1" s="23" t="s">
        <v>228</v>
      </c>
      <c r="J1" s="23" t="s">
        <v>226</v>
      </c>
      <c r="K1" s="23" t="s">
        <v>222</v>
      </c>
      <c r="L1" s="23" t="s">
        <v>225</v>
      </c>
      <c r="M1" s="22" t="s">
        <v>223</v>
      </c>
      <c r="N1" s="22" t="s">
        <v>227</v>
      </c>
      <c r="R1" s="22" t="s">
        <v>247</v>
      </c>
      <c r="S1" s="25" t="s">
        <v>248</v>
      </c>
      <c r="U1" s="22" t="s">
        <v>241</v>
      </c>
      <c r="V1" s="24">
        <v>54</v>
      </c>
      <c r="Y1" s="22" t="s">
        <v>2</v>
      </c>
      <c r="Z1" s="22" t="s">
        <v>3</v>
      </c>
    </row>
    <row r="2" spans="1:26">
      <c r="A2" t="s">
        <v>200</v>
      </c>
      <c r="B2" t="s">
        <v>201</v>
      </c>
      <c r="C2" s="19">
        <v>139</v>
      </c>
      <c r="D2" s="19">
        <v>1</v>
      </c>
      <c r="E2" s="4">
        <f>SUM(S2)</f>
        <v>522</v>
      </c>
      <c r="F2" s="4">
        <f>SUM(K2*5)</f>
        <v>60</v>
      </c>
      <c r="G2" s="4">
        <f>SUM(E2+F2)</f>
        <v>582</v>
      </c>
      <c r="H2" s="19">
        <v>31</v>
      </c>
      <c r="I2" s="19">
        <v>3</v>
      </c>
      <c r="J2" s="19">
        <f>SUM(H2*I2)</f>
        <v>93</v>
      </c>
      <c r="K2" s="19">
        <v>12</v>
      </c>
      <c r="L2" s="19">
        <f t="shared" ref="L2:L12" si="0">SUM(K2*3)</f>
        <v>36</v>
      </c>
      <c r="M2">
        <v>10</v>
      </c>
      <c r="N2">
        <f>SUM(J2+L2+M2)</f>
        <v>139</v>
      </c>
      <c r="P2" t="s">
        <v>234</v>
      </c>
      <c r="Q2" s="2">
        <v>0.36</v>
      </c>
      <c r="R2">
        <v>1450</v>
      </c>
      <c r="S2" s="6">
        <f>SUM(R2*Q2)</f>
        <v>522</v>
      </c>
      <c r="U2" t="s">
        <v>242</v>
      </c>
      <c r="V2" s="4">
        <v>4</v>
      </c>
      <c r="W2" s="4">
        <f t="shared" ref="W2:W5" si="1">SUM(V2*31)</f>
        <v>124</v>
      </c>
      <c r="Y2" t="s">
        <v>202</v>
      </c>
      <c r="Z2" t="s">
        <v>203</v>
      </c>
    </row>
    <row r="3" spans="1:26" s="7" customFormat="1">
      <c r="A3" s="7" t="s">
        <v>24</v>
      </c>
      <c r="B3" s="7" t="s">
        <v>25</v>
      </c>
      <c r="C3" s="20">
        <v>76</v>
      </c>
      <c r="D3" s="20">
        <v>2</v>
      </c>
      <c r="E3" s="8">
        <f t="shared" ref="E3:E8" si="2">SUM(S3)</f>
        <v>333.5</v>
      </c>
      <c r="F3" s="8">
        <f t="shared" ref="F3:F32" si="3">SUM(K3*5)</f>
        <v>10</v>
      </c>
      <c r="G3" s="8">
        <f t="shared" ref="G3:G32" si="4">SUM(E3+F3)</f>
        <v>343.5</v>
      </c>
      <c r="H3" s="20">
        <v>30</v>
      </c>
      <c r="I3" s="20">
        <v>2</v>
      </c>
      <c r="J3" s="20">
        <f t="shared" ref="J3:J32" si="5">SUM(H3*I3)</f>
        <v>60</v>
      </c>
      <c r="K3" s="20">
        <v>2</v>
      </c>
      <c r="L3" s="20">
        <f t="shared" si="0"/>
        <v>6</v>
      </c>
      <c r="M3" s="7">
        <v>10</v>
      </c>
      <c r="N3" s="7">
        <f t="shared" ref="N3:N32" si="6">SUM(J3+L3+M3)</f>
        <v>76</v>
      </c>
      <c r="P3" s="7" t="s">
        <v>235</v>
      </c>
      <c r="Q3" s="9">
        <v>0.23</v>
      </c>
      <c r="R3" s="7">
        <v>1450</v>
      </c>
      <c r="S3" s="10">
        <f t="shared" ref="S3:S8" si="7">SUM(R3*Q3)</f>
        <v>333.5</v>
      </c>
      <c r="U3" s="7" t="s">
        <v>243</v>
      </c>
      <c r="V3" s="8">
        <v>5</v>
      </c>
      <c r="W3" s="8">
        <f t="shared" si="1"/>
        <v>155</v>
      </c>
      <c r="Y3" s="7" t="s">
        <v>26</v>
      </c>
      <c r="Z3" s="7" t="s">
        <v>27</v>
      </c>
    </row>
    <row r="4" spans="1:26" ht="15" thickBot="1">
      <c r="A4" t="s">
        <v>88</v>
      </c>
      <c r="B4" t="s">
        <v>16</v>
      </c>
      <c r="C4" s="19">
        <v>74</v>
      </c>
      <c r="D4" s="19">
        <v>3</v>
      </c>
      <c r="E4" s="4">
        <f t="shared" si="2"/>
        <v>203.00000000000003</v>
      </c>
      <c r="F4" s="4">
        <f t="shared" si="3"/>
        <v>10</v>
      </c>
      <c r="G4" s="4">
        <f t="shared" si="4"/>
        <v>213.00000000000003</v>
      </c>
      <c r="H4" s="19">
        <v>29</v>
      </c>
      <c r="I4" s="19">
        <v>2</v>
      </c>
      <c r="J4" s="19">
        <f t="shared" si="5"/>
        <v>58</v>
      </c>
      <c r="K4" s="19">
        <v>2</v>
      </c>
      <c r="L4" s="19">
        <f t="shared" si="0"/>
        <v>6</v>
      </c>
      <c r="M4">
        <v>10</v>
      </c>
      <c r="N4">
        <f t="shared" si="6"/>
        <v>74</v>
      </c>
      <c r="P4" t="s">
        <v>236</v>
      </c>
      <c r="Q4" s="2">
        <v>0.14000000000000001</v>
      </c>
      <c r="R4">
        <v>1450</v>
      </c>
      <c r="S4" s="6">
        <f t="shared" si="7"/>
        <v>203.00000000000003</v>
      </c>
      <c r="U4" t="s">
        <v>244</v>
      </c>
      <c r="V4" s="4">
        <v>5</v>
      </c>
      <c r="W4" s="4">
        <f t="shared" si="1"/>
        <v>155</v>
      </c>
      <c r="Y4" t="s">
        <v>89</v>
      </c>
      <c r="Z4" t="s">
        <v>90</v>
      </c>
    </row>
    <row r="5" spans="1:26" s="7" customFormat="1">
      <c r="A5" s="7" t="s">
        <v>98</v>
      </c>
      <c r="B5" s="7" t="s">
        <v>96</v>
      </c>
      <c r="C5" s="20">
        <v>78</v>
      </c>
      <c r="D5" s="20">
        <v>4</v>
      </c>
      <c r="E5" s="8">
        <f t="shared" si="2"/>
        <v>145</v>
      </c>
      <c r="F5" s="8">
        <f t="shared" si="3"/>
        <v>20</v>
      </c>
      <c r="G5" s="8">
        <f t="shared" si="4"/>
        <v>165</v>
      </c>
      <c r="H5" s="20">
        <v>28</v>
      </c>
      <c r="I5" s="20">
        <v>2</v>
      </c>
      <c r="J5" s="20">
        <f t="shared" si="5"/>
        <v>56</v>
      </c>
      <c r="K5" s="20">
        <v>4</v>
      </c>
      <c r="L5" s="20">
        <f t="shared" si="0"/>
        <v>12</v>
      </c>
      <c r="M5" s="7">
        <v>10</v>
      </c>
      <c r="N5" s="7">
        <f t="shared" si="6"/>
        <v>78</v>
      </c>
      <c r="P5" s="7" t="s">
        <v>237</v>
      </c>
      <c r="Q5" s="9">
        <v>0.1</v>
      </c>
      <c r="R5" s="7">
        <v>1450</v>
      </c>
      <c r="S5" s="10">
        <f t="shared" si="7"/>
        <v>145</v>
      </c>
      <c r="U5" s="11" t="s">
        <v>245</v>
      </c>
      <c r="V5" s="12">
        <v>40</v>
      </c>
      <c r="W5" s="13">
        <f t="shared" si="1"/>
        <v>1240</v>
      </c>
      <c r="Y5" s="7" t="s">
        <v>99</v>
      </c>
      <c r="Z5" s="7" t="s">
        <v>100</v>
      </c>
    </row>
    <row r="6" spans="1:26">
      <c r="A6" t="s">
        <v>207</v>
      </c>
      <c r="B6" t="s">
        <v>208</v>
      </c>
      <c r="C6" s="19">
        <v>73</v>
      </c>
      <c r="D6" s="19">
        <v>5</v>
      </c>
      <c r="E6" s="4">
        <f t="shared" si="2"/>
        <v>116</v>
      </c>
      <c r="F6" s="4">
        <f t="shared" si="3"/>
        <v>15</v>
      </c>
      <c r="G6" s="4">
        <f t="shared" si="4"/>
        <v>131</v>
      </c>
      <c r="H6" s="19">
        <v>27</v>
      </c>
      <c r="I6" s="19">
        <v>2</v>
      </c>
      <c r="J6" s="19">
        <f t="shared" si="5"/>
        <v>54</v>
      </c>
      <c r="K6" s="19">
        <v>3</v>
      </c>
      <c r="L6" s="19">
        <f t="shared" si="0"/>
        <v>9</v>
      </c>
      <c r="M6">
        <v>10</v>
      </c>
      <c r="N6">
        <f t="shared" si="6"/>
        <v>73</v>
      </c>
      <c r="P6" t="s">
        <v>238</v>
      </c>
      <c r="Q6" s="2">
        <v>0.08</v>
      </c>
      <c r="R6">
        <v>1450</v>
      </c>
      <c r="S6" s="6">
        <f t="shared" si="7"/>
        <v>116</v>
      </c>
      <c r="U6" s="3" t="s">
        <v>246</v>
      </c>
      <c r="V6" s="4">
        <v>21</v>
      </c>
      <c r="W6" s="5">
        <f>SUM(V6*10)</f>
        <v>210</v>
      </c>
      <c r="Y6" t="s">
        <v>209</v>
      </c>
      <c r="Z6" t="s">
        <v>210</v>
      </c>
    </row>
    <row r="7" spans="1:26" s="7" customFormat="1" ht="15" thickBot="1">
      <c r="A7" s="7" t="s">
        <v>134</v>
      </c>
      <c r="B7" s="7" t="s">
        <v>135</v>
      </c>
      <c r="C7" s="20">
        <v>62</v>
      </c>
      <c r="D7" s="20">
        <v>6</v>
      </c>
      <c r="E7" s="8">
        <f t="shared" si="2"/>
        <v>72.5</v>
      </c>
      <c r="F7" s="8">
        <f t="shared" si="3"/>
        <v>0</v>
      </c>
      <c r="G7" s="8">
        <f t="shared" si="4"/>
        <v>72.5</v>
      </c>
      <c r="H7" s="20">
        <v>26</v>
      </c>
      <c r="I7" s="20">
        <v>2</v>
      </c>
      <c r="J7" s="20">
        <f t="shared" si="5"/>
        <v>52</v>
      </c>
      <c r="K7" s="20"/>
      <c r="L7" s="20">
        <f t="shared" si="0"/>
        <v>0</v>
      </c>
      <c r="M7" s="7">
        <v>10</v>
      </c>
      <c r="N7" s="7">
        <f t="shared" si="6"/>
        <v>62</v>
      </c>
      <c r="P7" s="7" t="s">
        <v>239</v>
      </c>
      <c r="Q7" s="9">
        <v>0.05</v>
      </c>
      <c r="R7" s="7">
        <v>1450</v>
      </c>
      <c r="S7" s="10">
        <f t="shared" si="7"/>
        <v>72.5</v>
      </c>
      <c r="U7" s="14"/>
      <c r="V7" s="15"/>
      <c r="W7" s="16">
        <f>SUM(W5:W6)</f>
        <v>1450</v>
      </c>
      <c r="Y7" s="7" t="s">
        <v>136</v>
      </c>
      <c r="Z7" s="7" t="s">
        <v>137</v>
      </c>
    </row>
    <row r="8" spans="1:26">
      <c r="A8" t="s">
        <v>38</v>
      </c>
      <c r="B8" t="s">
        <v>39</v>
      </c>
      <c r="C8" s="19">
        <v>66</v>
      </c>
      <c r="D8" s="19">
        <v>7</v>
      </c>
      <c r="E8" s="4">
        <f t="shared" si="2"/>
        <v>58</v>
      </c>
      <c r="F8" s="4">
        <f t="shared" si="3"/>
        <v>10</v>
      </c>
      <c r="G8" s="4">
        <f t="shared" si="4"/>
        <v>68</v>
      </c>
      <c r="H8" s="19">
        <v>25</v>
      </c>
      <c r="I8" s="19">
        <v>2</v>
      </c>
      <c r="J8" s="19">
        <f t="shared" si="5"/>
        <v>50</v>
      </c>
      <c r="K8" s="19">
        <v>2</v>
      </c>
      <c r="L8" s="19">
        <f t="shared" si="0"/>
        <v>6</v>
      </c>
      <c r="M8">
        <v>10</v>
      </c>
      <c r="N8">
        <f t="shared" si="6"/>
        <v>66</v>
      </c>
      <c r="P8" t="s">
        <v>240</v>
      </c>
      <c r="Q8" s="2">
        <v>0.04</v>
      </c>
      <c r="R8">
        <v>1450</v>
      </c>
      <c r="S8" s="6">
        <f t="shared" si="7"/>
        <v>58</v>
      </c>
      <c r="Y8" t="s">
        <v>40</v>
      </c>
      <c r="Z8" t="s">
        <v>41</v>
      </c>
    </row>
    <row r="9" spans="1:26" s="7" customFormat="1">
      <c r="A9" s="7" t="s">
        <v>126</v>
      </c>
      <c r="B9" s="7" t="s">
        <v>127</v>
      </c>
      <c r="C9" s="20">
        <v>64</v>
      </c>
      <c r="D9" s="20">
        <v>8</v>
      </c>
      <c r="E9" s="8"/>
      <c r="F9" s="8">
        <f t="shared" si="3"/>
        <v>10</v>
      </c>
      <c r="G9" s="8">
        <f t="shared" si="4"/>
        <v>10</v>
      </c>
      <c r="H9" s="20">
        <v>24</v>
      </c>
      <c r="I9" s="20">
        <v>2</v>
      </c>
      <c r="J9" s="20">
        <f t="shared" si="5"/>
        <v>48</v>
      </c>
      <c r="K9" s="20">
        <v>2</v>
      </c>
      <c r="L9" s="20">
        <f t="shared" si="0"/>
        <v>6</v>
      </c>
      <c r="M9" s="7">
        <v>10</v>
      </c>
      <c r="N9" s="7">
        <f t="shared" si="6"/>
        <v>64</v>
      </c>
      <c r="Q9" s="9">
        <f>SUM(Q2:Q8)</f>
        <v>1</v>
      </c>
      <c r="S9" s="10"/>
      <c r="Y9" s="7" t="s">
        <v>128</v>
      </c>
      <c r="Z9" s="7" t="s">
        <v>129</v>
      </c>
    </row>
    <row r="10" spans="1:26">
      <c r="A10" t="s">
        <v>64</v>
      </c>
      <c r="B10" t="s">
        <v>65</v>
      </c>
      <c r="C10" s="19">
        <v>59</v>
      </c>
      <c r="D10" s="19">
        <v>9</v>
      </c>
      <c r="F10" s="4">
        <f t="shared" si="3"/>
        <v>5</v>
      </c>
      <c r="G10" s="4">
        <f t="shared" si="4"/>
        <v>5</v>
      </c>
      <c r="H10" s="19">
        <v>23</v>
      </c>
      <c r="I10" s="19">
        <v>2</v>
      </c>
      <c r="J10" s="19">
        <f t="shared" si="5"/>
        <v>46</v>
      </c>
      <c r="K10" s="19">
        <v>1</v>
      </c>
      <c r="L10" s="19">
        <f t="shared" si="0"/>
        <v>3</v>
      </c>
      <c r="M10">
        <v>10</v>
      </c>
      <c r="N10">
        <f t="shared" si="6"/>
        <v>59</v>
      </c>
      <c r="Y10" t="s">
        <v>66</v>
      </c>
      <c r="Z10" t="s">
        <v>67</v>
      </c>
    </row>
    <row r="11" spans="1:26" s="15" customFormat="1" ht="15" thickBot="1">
      <c r="A11" s="15" t="s">
        <v>110</v>
      </c>
      <c r="B11" s="15" t="s">
        <v>111</v>
      </c>
      <c r="C11" s="21">
        <v>32</v>
      </c>
      <c r="D11" s="21">
        <v>10</v>
      </c>
      <c r="E11" s="17"/>
      <c r="F11" s="17">
        <f t="shared" si="3"/>
        <v>0</v>
      </c>
      <c r="G11" s="17">
        <f t="shared" si="4"/>
        <v>0</v>
      </c>
      <c r="H11" s="21">
        <v>22</v>
      </c>
      <c r="I11" s="21">
        <v>2</v>
      </c>
      <c r="J11" s="21">
        <f t="shared" si="5"/>
        <v>44</v>
      </c>
      <c r="K11" s="21"/>
      <c r="L11" s="21">
        <f t="shared" si="0"/>
        <v>0</v>
      </c>
      <c r="M11" s="15">
        <v>10</v>
      </c>
      <c r="N11" s="15">
        <f t="shared" si="6"/>
        <v>54</v>
      </c>
      <c r="S11" s="18"/>
      <c r="Y11" s="15" t="s">
        <v>112</v>
      </c>
      <c r="Z11" s="15" t="s">
        <v>113</v>
      </c>
    </row>
    <row r="12" spans="1:26">
      <c r="A12" t="s">
        <v>91</v>
      </c>
      <c r="B12" t="s">
        <v>92</v>
      </c>
      <c r="C12" s="19">
        <v>31</v>
      </c>
      <c r="D12" s="19">
        <v>11</v>
      </c>
      <c r="F12" s="4">
        <f t="shared" si="3"/>
        <v>0</v>
      </c>
      <c r="G12" s="4">
        <f t="shared" si="4"/>
        <v>0</v>
      </c>
      <c r="H12" s="19">
        <v>21</v>
      </c>
      <c r="I12" s="19">
        <v>1</v>
      </c>
      <c r="J12" s="19">
        <f t="shared" si="5"/>
        <v>21</v>
      </c>
      <c r="L12" s="19">
        <f t="shared" si="0"/>
        <v>0</v>
      </c>
      <c r="M12">
        <v>10</v>
      </c>
      <c r="N12">
        <f t="shared" si="6"/>
        <v>31</v>
      </c>
      <c r="Y12" t="s">
        <v>93</v>
      </c>
      <c r="Z12" t="s">
        <v>94</v>
      </c>
    </row>
    <row r="13" spans="1:26" s="7" customFormat="1">
      <c r="A13" s="7" t="s">
        <v>49</v>
      </c>
      <c r="B13" s="7" t="s">
        <v>54</v>
      </c>
      <c r="C13" s="20">
        <v>30</v>
      </c>
      <c r="D13" s="20">
        <v>12</v>
      </c>
      <c r="E13" s="8"/>
      <c r="F13" s="8">
        <f t="shared" si="3"/>
        <v>0</v>
      </c>
      <c r="G13" s="8">
        <f t="shared" si="4"/>
        <v>0</v>
      </c>
      <c r="H13" s="20">
        <v>20</v>
      </c>
      <c r="I13" s="20">
        <v>1</v>
      </c>
      <c r="J13" s="20">
        <f t="shared" si="5"/>
        <v>20</v>
      </c>
      <c r="K13" s="20"/>
      <c r="L13" s="20"/>
      <c r="M13" s="7">
        <v>10</v>
      </c>
      <c r="N13" s="7">
        <f t="shared" si="6"/>
        <v>30</v>
      </c>
      <c r="S13" s="10"/>
      <c r="Y13" s="7" t="s">
        <v>55</v>
      </c>
      <c r="Z13" s="7" t="s">
        <v>56</v>
      </c>
    </row>
    <row r="14" spans="1:26">
      <c r="A14" t="s">
        <v>101</v>
      </c>
      <c r="B14" t="s">
        <v>102</v>
      </c>
      <c r="C14" s="19">
        <v>29</v>
      </c>
      <c r="D14" s="19">
        <v>13</v>
      </c>
      <c r="F14" s="4">
        <f t="shared" si="3"/>
        <v>0</v>
      </c>
      <c r="G14" s="4">
        <f t="shared" si="4"/>
        <v>0</v>
      </c>
      <c r="H14" s="19">
        <v>19</v>
      </c>
      <c r="I14" s="19">
        <v>1</v>
      </c>
      <c r="J14" s="19">
        <f t="shared" si="5"/>
        <v>19</v>
      </c>
      <c r="M14">
        <v>10</v>
      </c>
      <c r="N14">
        <f t="shared" si="6"/>
        <v>29</v>
      </c>
      <c r="Y14" t="s">
        <v>103</v>
      </c>
      <c r="Z14" t="s">
        <v>104</v>
      </c>
    </row>
    <row r="15" spans="1:26" s="7" customFormat="1">
      <c r="A15" s="7" t="s">
        <v>74</v>
      </c>
      <c r="B15" s="7" t="s">
        <v>75</v>
      </c>
      <c r="C15" s="20">
        <v>28</v>
      </c>
      <c r="D15" s="20">
        <v>14</v>
      </c>
      <c r="E15" s="8"/>
      <c r="F15" s="8">
        <f t="shared" si="3"/>
        <v>0</v>
      </c>
      <c r="G15" s="8">
        <f t="shared" si="4"/>
        <v>0</v>
      </c>
      <c r="H15" s="20">
        <v>18</v>
      </c>
      <c r="I15" s="20">
        <v>1</v>
      </c>
      <c r="J15" s="20">
        <f t="shared" si="5"/>
        <v>18</v>
      </c>
      <c r="K15" s="20"/>
      <c r="L15" s="20"/>
      <c r="M15" s="7">
        <v>10</v>
      </c>
      <c r="N15" s="7">
        <f t="shared" si="6"/>
        <v>28</v>
      </c>
      <c r="S15" s="10"/>
      <c r="Y15" s="7" t="s">
        <v>76</v>
      </c>
      <c r="Z15" s="7" t="s">
        <v>77</v>
      </c>
    </row>
    <row r="16" spans="1:26">
      <c r="A16" t="s">
        <v>164</v>
      </c>
      <c r="B16" t="s">
        <v>16</v>
      </c>
      <c r="C16" s="19">
        <v>30</v>
      </c>
      <c r="D16" s="19">
        <v>15</v>
      </c>
      <c r="F16" s="4">
        <f t="shared" si="3"/>
        <v>5</v>
      </c>
      <c r="G16" s="4">
        <f t="shared" si="4"/>
        <v>5</v>
      </c>
      <c r="H16" s="19">
        <v>17</v>
      </c>
      <c r="I16" s="19">
        <v>1</v>
      </c>
      <c r="J16" s="19">
        <f t="shared" si="5"/>
        <v>17</v>
      </c>
      <c r="K16" s="19">
        <v>1</v>
      </c>
      <c r="L16" s="19">
        <f t="shared" ref="L16" si="8">SUM(K16*3)</f>
        <v>3</v>
      </c>
      <c r="M16">
        <v>10</v>
      </c>
      <c r="N16">
        <f t="shared" si="6"/>
        <v>30</v>
      </c>
      <c r="Y16" t="s">
        <v>165</v>
      </c>
      <c r="Z16" t="s">
        <v>166</v>
      </c>
    </row>
    <row r="17" spans="1:26" s="7" customFormat="1">
      <c r="A17" s="7" t="s">
        <v>169</v>
      </c>
      <c r="B17" s="7" t="s">
        <v>170</v>
      </c>
      <c r="C17" s="20">
        <v>26</v>
      </c>
      <c r="D17" s="20">
        <v>16</v>
      </c>
      <c r="E17" s="8"/>
      <c r="F17" s="8">
        <f t="shared" si="3"/>
        <v>0</v>
      </c>
      <c r="G17" s="8">
        <f t="shared" si="4"/>
        <v>0</v>
      </c>
      <c r="H17" s="20">
        <v>16</v>
      </c>
      <c r="I17" s="20">
        <v>1</v>
      </c>
      <c r="J17" s="20">
        <f t="shared" si="5"/>
        <v>16</v>
      </c>
      <c r="K17" s="20"/>
      <c r="L17" s="20"/>
      <c r="M17" s="7">
        <v>10</v>
      </c>
      <c r="N17" s="7">
        <f t="shared" si="6"/>
        <v>26</v>
      </c>
      <c r="S17" s="10"/>
      <c r="Y17" s="7" t="s">
        <v>171</v>
      </c>
      <c r="Z17" s="7" t="s">
        <v>172</v>
      </c>
    </row>
    <row r="18" spans="1:26">
      <c r="A18" t="s">
        <v>24</v>
      </c>
      <c r="B18" t="s">
        <v>28</v>
      </c>
      <c r="C18" s="19">
        <v>25</v>
      </c>
      <c r="D18" s="19">
        <v>17</v>
      </c>
      <c r="F18" s="4">
        <f t="shared" si="3"/>
        <v>0</v>
      </c>
      <c r="G18" s="4">
        <f t="shared" si="4"/>
        <v>0</v>
      </c>
      <c r="H18" s="19">
        <v>15</v>
      </c>
      <c r="I18" s="19">
        <v>1</v>
      </c>
      <c r="J18" s="19">
        <f t="shared" si="5"/>
        <v>15</v>
      </c>
      <c r="M18">
        <v>10</v>
      </c>
      <c r="N18">
        <f t="shared" si="6"/>
        <v>25</v>
      </c>
      <c r="Y18" t="s">
        <v>29</v>
      </c>
      <c r="Z18" t="s">
        <v>30</v>
      </c>
    </row>
    <row r="19" spans="1:26" s="7" customFormat="1">
      <c r="A19" s="7" t="s">
        <v>187</v>
      </c>
      <c r="B19" s="7" t="s">
        <v>188</v>
      </c>
      <c r="C19" s="20">
        <v>24</v>
      </c>
      <c r="D19" s="20">
        <v>18</v>
      </c>
      <c r="E19" s="8"/>
      <c r="F19" s="8">
        <f t="shared" si="3"/>
        <v>0</v>
      </c>
      <c r="G19" s="8">
        <f t="shared" si="4"/>
        <v>0</v>
      </c>
      <c r="H19" s="20">
        <v>14</v>
      </c>
      <c r="I19" s="20">
        <v>1</v>
      </c>
      <c r="J19" s="20">
        <f t="shared" si="5"/>
        <v>14</v>
      </c>
      <c r="K19" s="20"/>
      <c r="L19" s="20"/>
      <c r="M19" s="7">
        <v>10</v>
      </c>
      <c r="N19" s="7">
        <f t="shared" si="6"/>
        <v>24</v>
      </c>
      <c r="S19" s="10"/>
      <c r="Y19" s="7" t="s">
        <v>189</v>
      </c>
      <c r="Z19" s="7" t="s">
        <v>190</v>
      </c>
    </row>
    <row r="20" spans="1:26">
      <c r="A20" t="s">
        <v>193</v>
      </c>
      <c r="B20" t="s">
        <v>194</v>
      </c>
      <c r="C20" s="19">
        <v>23</v>
      </c>
      <c r="D20" s="19">
        <v>19</v>
      </c>
      <c r="F20" s="4">
        <f t="shared" si="3"/>
        <v>0</v>
      </c>
      <c r="G20" s="4">
        <f t="shared" si="4"/>
        <v>0</v>
      </c>
      <c r="H20" s="19">
        <v>13</v>
      </c>
      <c r="I20" s="19">
        <v>1</v>
      </c>
      <c r="J20" s="19">
        <f t="shared" si="5"/>
        <v>13</v>
      </c>
      <c r="M20">
        <v>10</v>
      </c>
      <c r="N20">
        <f t="shared" si="6"/>
        <v>23</v>
      </c>
      <c r="Z20" t="s">
        <v>195</v>
      </c>
    </row>
    <row r="21" spans="1:26" s="7" customFormat="1">
      <c r="A21" s="7" t="s">
        <v>49</v>
      </c>
      <c r="B21" s="7" t="s">
        <v>50</v>
      </c>
      <c r="C21" s="20">
        <v>22</v>
      </c>
      <c r="D21" s="20">
        <v>20</v>
      </c>
      <c r="E21" s="8"/>
      <c r="F21" s="8">
        <f t="shared" si="3"/>
        <v>0</v>
      </c>
      <c r="G21" s="8">
        <f t="shared" si="4"/>
        <v>0</v>
      </c>
      <c r="H21" s="20">
        <v>12</v>
      </c>
      <c r="I21" s="20">
        <v>1</v>
      </c>
      <c r="J21" s="20">
        <f t="shared" si="5"/>
        <v>12</v>
      </c>
      <c r="K21" s="20"/>
      <c r="L21" s="20"/>
      <c r="M21" s="7">
        <v>10</v>
      </c>
      <c r="N21" s="7">
        <f t="shared" si="6"/>
        <v>22</v>
      </c>
      <c r="S21" s="10"/>
      <c r="Y21" s="7" t="s">
        <v>51</v>
      </c>
      <c r="Z21" s="7" t="s">
        <v>52</v>
      </c>
    </row>
    <row r="22" spans="1:26">
      <c r="A22" t="s">
        <v>42</v>
      </c>
      <c r="B22" t="s">
        <v>43</v>
      </c>
      <c r="C22" s="19">
        <v>21</v>
      </c>
      <c r="D22" s="19">
        <v>21</v>
      </c>
      <c r="F22" s="4">
        <f t="shared" si="3"/>
        <v>0</v>
      </c>
      <c r="G22" s="4">
        <f t="shared" si="4"/>
        <v>0</v>
      </c>
      <c r="H22" s="19">
        <v>11</v>
      </c>
      <c r="I22" s="19">
        <v>1</v>
      </c>
      <c r="J22" s="19">
        <f t="shared" si="5"/>
        <v>11</v>
      </c>
      <c r="M22">
        <v>10</v>
      </c>
      <c r="N22">
        <f t="shared" si="6"/>
        <v>21</v>
      </c>
      <c r="Y22" t="s">
        <v>44</v>
      </c>
      <c r="Z22" t="s">
        <v>45</v>
      </c>
    </row>
    <row r="23" spans="1:26" s="7" customFormat="1">
      <c r="A23" s="7" t="s">
        <v>19</v>
      </c>
      <c r="B23" s="7" t="s">
        <v>23</v>
      </c>
      <c r="C23" s="20">
        <v>20</v>
      </c>
      <c r="D23" s="20">
        <v>22</v>
      </c>
      <c r="E23" s="8"/>
      <c r="F23" s="8">
        <f t="shared" si="3"/>
        <v>0</v>
      </c>
      <c r="G23" s="8">
        <f t="shared" si="4"/>
        <v>0</v>
      </c>
      <c r="H23" s="20">
        <v>10</v>
      </c>
      <c r="I23" s="20">
        <v>1</v>
      </c>
      <c r="J23" s="20">
        <f t="shared" si="5"/>
        <v>10</v>
      </c>
      <c r="K23" s="20"/>
      <c r="L23" s="20"/>
      <c r="N23" s="7">
        <f t="shared" si="6"/>
        <v>10</v>
      </c>
      <c r="S23" s="10"/>
    </row>
    <row r="24" spans="1:26">
      <c r="A24" t="s">
        <v>31</v>
      </c>
      <c r="B24" t="s">
        <v>32</v>
      </c>
      <c r="C24" s="19">
        <v>19</v>
      </c>
      <c r="D24" s="19">
        <v>23</v>
      </c>
      <c r="F24" s="4">
        <f t="shared" si="3"/>
        <v>0</v>
      </c>
      <c r="G24" s="4">
        <f t="shared" si="4"/>
        <v>0</v>
      </c>
      <c r="H24" s="19">
        <v>9</v>
      </c>
      <c r="I24" s="19">
        <v>1</v>
      </c>
      <c r="J24" s="19">
        <f t="shared" si="5"/>
        <v>9</v>
      </c>
      <c r="M24">
        <v>10</v>
      </c>
      <c r="N24">
        <f t="shared" si="6"/>
        <v>19</v>
      </c>
      <c r="Z24" t="s">
        <v>33</v>
      </c>
    </row>
    <row r="25" spans="1:26" s="7" customFormat="1">
      <c r="A25" s="7" t="s">
        <v>68</v>
      </c>
      <c r="B25" s="7" t="s">
        <v>69</v>
      </c>
      <c r="C25" s="20">
        <v>18</v>
      </c>
      <c r="D25" s="20">
        <v>24</v>
      </c>
      <c r="E25" s="8"/>
      <c r="F25" s="8">
        <f t="shared" si="3"/>
        <v>0</v>
      </c>
      <c r="G25" s="8">
        <f t="shared" si="4"/>
        <v>0</v>
      </c>
      <c r="H25" s="20">
        <v>8</v>
      </c>
      <c r="I25" s="20">
        <v>1</v>
      </c>
      <c r="J25" s="20">
        <f t="shared" si="5"/>
        <v>8</v>
      </c>
      <c r="K25" s="20"/>
      <c r="L25" s="20"/>
      <c r="N25" s="7">
        <f t="shared" si="6"/>
        <v>8</v>
      </c>
      <c r="S25" s="10"/>
      <c r="Z25" s="7" t="s">
        <v>70</v>
      </c>
    </row>
    <row r="26" spans="1:26">
      <c r="A26" t="s">
        <v>105</v>
      </c>
      <c r="B26" t="s">
        <v>106</v>
      </c>
      <c r="C26" s="19">
        <v>17</v>
      </c>
      <c r="D26" s="19">
        <v>25</v>
      </c>
      <c r="F26" s="4">
        <f t="shared" si="3"/>
        <v>0</v>
      </c>
      <c r="G26" s="4">
        <f t="shared" si="4"/>
        <v>0</v>
      </c>
      <c r="H26" s="19">
        <v>7</v>
      </c>
      <c r="I26" s="19">
        <v>1</v>
      </c>
      <c r="J26" s="19">
        <f t="shared" si="5"/>
        <v>7</v>
      </c>
      <c r="M26">
        <v>10</v>
      </c>
      <c r="N26">
        <f t="shared" si="6"/>
        <v>17</v>
      </c>
      <c r="Y26" t="s">
        <v>107</v>
      </c>
    </row>
    <row r="27" spans="1:26" s="7" customFormat="1">
      <c r="A27" s="7" t="s">
        <v>95</v>
      </c>
      <c r="B27" s="7" t="s">
        <v>96</v>
      </c>
      <c r="C27" s="20">
        <v>16</v>
      </c>
      <c r="D27" s="20">
        <v>26</v>
      </c>
      <c r="E27" s="8"/>
      <c r="F27" s="8">
        <f t="shared" si="3"/>
        <v>0</v>
      </c>
      <c r="G27" s="8">
        <f t="shared" si="4"/>
        <v>0</v>
      </c>
      <c r="H27" s="20">
        <v>6</v>
      </c>
      <c r="I27" s="20">
        <v>1</v>
      </c>
      <c r="J27" s="20">
        <f t="shared" si="5"/>
        <v>6</v>
      </c>
      <c r="K27" s="20"/>
      <c r="L27" s="20"/>
      <c r="M27" s="7">
        <v>10</v>
      </c>
      <c r="N27" s="7">
        <f t="shared" si="6"/>
        <v>16</v>
      </c>
      <c r="S27" s="10"/>
      <c r="Z27" s="7" t="s">
        <v>97</v>
      </c>
    </row>
    <row r="28" spans="1:26">
      <c r="A28" t="s">
        <v>5</v>
      </c>
      <c r="B28" t="s">
        <v>6</v>
      </c>
      <c r="C28" s="19">
        <v>15</v>
      </c>
      <c r="D28" s="19">
        <v>27</v>
      </c>
      <c r="F28" s="4">
        <f t="shared" si="3"/>
        <v>0</v>
      </c>
      <c r="G28" s="4">
        <f t="shared" si="4"/>
        <v>0</v>
      </c>
      <c r="H28" s="19">
        <v>5</v>
      </c>
      <c r="I28" s="19">
        <v>1</v>
      </c>
      <c r="J28" s="19">
        <f t="shared" si="5"/>
        <v>5</v>
      </c>
      <c r="M28">
        <v>10</v>
      </c>
      <c r="N28">
        <f t="shared" si="6"/>
        <v>15</v>
      </c>
      <c r="Y28" t="s">
        <v>7</v>
      </c>
      <c r="Z28" t="s">
        <v>8</v>
      </c>
    </row>
    <row r="29" spans="1:26" s="7" customFormat="1">
      <c r="A29" s="7" t="s">
        <v>220</v>
      </c>
      <c r="B29" s="7" t="s">
        <v>170</v>
      </c>
      <c r="C29" s="20">
        <v>14</v>
      </c>
      <c r="D29" s="20">
        <v>28</v>
      </c>
      <c r="E29" s="8"/>
      <c r="F29" s="8">
        <f t="shared" si="3"/>
        <v>0</v>
      </c>
      <c r="G29" s="8">
        <f t="shared" si="4"/>
        <v>0</v>
      </c>
      <c r="H29" s="20">
        <v>4</v>
      </c>
      <c r="I29" s="20">
        <v>1</v>
      </c>
      <c r="J29" s="20">
        <f t="shared" si="5"/>
        <v>4</v>
      </c>
      <c r="K29" s="20"/>
      <c r="L29" s="20"/>
      <c r="M29" s="7">
        <v>10</v>
      </c>
      <c r="N29" s="7">
        <f t="shared" si="6"/>
        <v>14</v>
      </c>
      <c r="S29" s="10"/>
    </row>
    <row r="30" spans="1:26">
      <c r="A30" t="s">
        <v>82</v>
      </c>
      <c r="B30" t="s">
        <v>83</v>
      </c>
      <c r="C30" s="19">
        <v>13</v>
      </c>
      <c r="D30" s="19">
        <v>29</v>
      </c>
      <c r="F30" s="4">
        <f t="shared" si="3"/>
        <v>0</v>
      </c>
      <c r="G30" s="4">
        <f t="shared" si="4"/>
        <v>0</v>
      </c>
      <c r="H30" s="19">
        <v>3</v>
      </c>
      <c r="I30" s="19">
        <v>1</v>
      </c>
      <c r="J30" s="19">
        <f t="shared" si="5"/>
        <v>3</v>
      </c>
      <c r="M30">
        <v>10</v>
      </c>
      <c r="N30">
        <f t="shared" si="6"/>
        <v>13</v>
      </c>
      <c r="Y30" t="s">
        <v>84</v>
      </c>
      <c r="Z30" t="s">
        <v>85</v>
      </c>
    </row>
    <row r="31" spans="1:26" s="7" customFormat="1">
      <c r="A31" s="7" t="s">
        <v>78</v>
      </c>
      <c r="B31" s="7" t="s">
        <v>79</v>
      </c>
      <c r="C31" s="20">
        <v>11</v>
      </c>
      <c r="D31" s="20">
        <v>30</v>
      </c>
      <c r="E31" s="8"/>
      <c r="F31" s="8">
        <f t="shared" si="3"/>
        <v>0</v>
      </c>
      <c r="G31" s="8">
        <f t="shared" si="4"/>
        <v>0</v>
      </c>
      <c r="H31" s="20">
        <v>2</v>
      </c>
      <c r="I31" s="20">
        <v>1</v>
      </c>
      <c r="J31" s="20">
        <f t="shared" si="5"/>
        <v>2</v>
      </c>
      <c r="K31" s="20"/>
      <c r="L31" s="20"/>
      <c r="M31" s="7">
        <v>10</v>
      </c>
      <c r="N31" s="7">
        <f t="shared" si="6"/>
        <v>12</v>
      </c>
      <c r="S31" s="10"/>
      <c r="Y31" s="7" t="s">
        <v>80</v>
      </c>
      <c r="Z31" s="7" t="s">
        <v>81</v>
      </c>
    </row>
    <row r="32" spans="1:26">
      <c r="A32" t="s">
        <v>160</v>
      </c>
      <c r="B32" t="s">
        <v>161</v>
      </c>
      <c r="C32" s="19">
        <v>12</v>
      </c>
      <c r="D32" s="19">
        <v>31</v>
      </c>
      <c r="F32" s="4">
        <f t="shared" si="3"/>
        <v>0</v>
      </c>
      <c r="G32" s="4">
        <f t="shared" si="4"/>
        <v>0</v>
      </c>
      <c r="H32" s="19">
        <v>1</v>
      </c>
      <c r="I32" s="19">
        <v>1</v>
      </c>
      <c r="J32" s="19">
        <f t="shared" si="5"/>
        <v>1</v>
      </c>
      <c r="M32">
        <v>10</v>
      </c>
      <c r="N32">
        <f t="shared" si="6"/>
        <v>11</v>
      </c>
      <c r="Y32" t="s">
        <v>162</v>
      </c>
      <c r="Z32" t="s">
        <v>163</v>
      </c>
    </row>
    <row r="33" spans="1:26" s="7" customFormat="1">
      <c r="A33" s="7" t="s">
        <v>9</v>
      </c>
      <c r="B33" s="7" t="s">
        <v>10</v>
      </c>
      <c r="C33" s="20">
        <v>0</v>
      </c>
      <c r="D33" s="20"/>
      <c r="E33" s="8"/>
      <c r="F33" s="8"/>
      <c r="G33" s="8"/>
      <c r="H33" s="20"/>
      <c r="I33" s="20"/>
      <c r="J33" s="20"/>
      <c r="K33" s="20"/>
      <c r="L33" s="20"/>
      <c r="S33" s="10"/>
      <c r="Y33" s="7" t="s">
        <v>11</v>
      </c>
      <c r="Z33" s="7" t="s">
        <v>12</v>
      </c>
    </row>
    <row r="34" spans="1:26">
      <c r="A34" t="s">
        <v>13</v>
      </c>
      <c r="B34" t="s">
        <v>14</v>
      </c>
      <c r="C34" s="19">
        <v>0</v>
      </c>
    </row>
    <row r="35" spans="1:26">
      <c r="A35" t="s">
        <v>15</v>
      </c>
      <c r="B35" t="s">
        <v>16</v>
      </c>
      <c r="C35" s="19">
        <v>0</v>
      </c>
      <c r="Y35" t="s">
        <v>17</v>
      </c>
      <c r="Z35" t="s">
        <v>18</v>
      </c>
    </row>
    <row r="36" spans="1:26">
      <c r="A36" t="s">
        <v>19</v>
      </c>
      <c r="B36" t="s">
        <v>20</v>
      </c>
      <c r="C36" s="19">
        <v>0</v>
      </c>
    </row>
    <row r="37" spans="1:26">
      <c r="A37" t="s">
        <v>19</v>
      </c>
      <c r="B37" t="s">
        <v>21</v>
      </c>
      <c r="C37" s="19">
        <v>0</v>
      </c>
      <c r="Y37" t="s">
        <v>22</v>
      </c>
    </row>
    <row r="38" spans="1:26">
      <c r="A38" t="s">
        <v>34</v>
      </c>
      <c r="B38" t="s">
        <v>35</v>
      </c>
      <c r="C38" s="19">
        <v>0</v>
      </c>
      <c r="Y38" t="s">
        <v>36</v>
      </c>
      <c r="Z38" t="s">
        <v>37</v>
      </c>
    </row>
    <row r="39" spans="1:26">
      <c r="A39" t="s">
        <v>42</v>
      </c>
      <c r="B39" t="s">
        <v>46</v>
      </c>
      <c r="C39" s="19">
        <v>0</v>
      </c>
      <c r="Y39" t="s">
        <v>47</v>
      </c>
      <c r="Z39" t="s">
        <v>48</v>
      </c>
    </row>
    <row r="40" spans="1:26">
      <c r="A40" t="s">
        <v>49</v>
      </c>
      <c r="B40" t="s">
        <v>53</v>
      </c>
      <c r="C40" s="19">
        <v>0</v>
      </c>
    </row>
    <row r="41" spans="1:26">
      <c r="A41" t="s">
        <v>57</v>
      </c>
      <c r="B41" t="s">
        <v>58</v>
      </c>
      <c r="C41" s="19">
        <v>0</v>
      </c>
      <c r="Y41" t="s">
        <v>59</v>
      </c>
      <c r="Z41" t="s">
        <v>60</v>
      </c>
    </row>
    <row r="42" spans="1:26">
      <c r="A42" t="s">
        <v>57</v>
      </c>
      <c r="B42" t="s">
        <v>61</v>
      </c>
      <c r="C42" s="19">
        <v>0</v>
      </c>
      <c r="Y42" t="s">
        <v>62</v>
      </c>
      <c r="Z42" t="s">
        <v>63</v>
      </c>
    </row>
    <row r="43" spans="1:26">
      <c r="A43" t="s">
        <v>68</v>
      </c>
      <c r="B43" t="s">
        <v>71</v>
      </c>
      <c r="C43" s="19">
        <v>0</v>
      </c>
      <c r="Y43" t="s">
        <v>72</v>
      </c>
      <c r="Z43" t="s">
        <v>73</v>
      </c>
    </row>
    <row r="44" spans="1:26">
      <c r="A44" t="s">
        <v>86</v>
      </c>
      <c r="B44" t="s">
        <v>87</v>
      </c>
      <c r="C44" s="19">
        <v>0</v>
      </c>
    </row>
    <row r="45" spans="1:26">
      <c r="A45" t="s">
        <v>105</v>
      </c>
      <c r="B45" t="s">
        <v>108</v>
      </c>
      <c r="C45" s="19">
        <v>0</v>
      </c>
      <c r="Y45" t="s">
        <v>109</v>
      </c>
    </row>
    <row r="46" spans="1:26">
      <c r="A46" t="s">
        <v>114</v>
      </c>
      <c r="B46" t="s">
        <v>115</v>
      </c>
      <c r="C46" s="19">
        <v>0</v>
      </c>
    </row>
    <row r="47" spans="1:26">
      <c r="A47" t="s">
        <v>116</v>
      </c>
      <c r="B47" t="s">
        <v>117</v>
      </c>
      <c r="C47" s="19">
        <v>0</v>
      </c>
    </row>
    <row r="48" spans="1:26">
      <c r="A48" t="s">
        <v>118</v>
      </c>
      <c r="B48" t="s">
        <v>119</v>
      </c>
      <c r="C48" s="19">
        <v>0</v>
      </c>
      <c r="Y48" t="s">
        <v>120</v>
      </c>
    </row>
    <row r="49" spans="1:26">
      <c r="A49" t="s">
        <v>121</v>
      </c>
      <c r="B49" t="s">
        <v>122</v>
      </c>
      <c r="C49" s="19">
        <v>0</v>
      </c>
    </row>
    <row r="50" spans="1:26">
      <c r="A50" t="s">
        <v>123</v>
      </c>
      <c r="B50" t="s">
        <v>124</v>
      </c>
      <c r="C50" s="19">
        <v>0</v>
      </c>
      <c r="Y50" t="s">
        <v>125</v>
      </c>
    </row>
    <row r="51" spans="1:26">
      <c r="A51" t="s">
        <v>130</v>
      </c>
      <c r="B51" t="s">
        <v>131</v>
      </c>
      <c r="C51" s="19">
        <v>0</v>
      </c>
      <c r="Y51" t="s">
        <v>132</v>
      </c>
      <c r="Z51" t="s">
        <v>133</v>
      </c>
    </row>
    <row r="52" spans="1:26">
      <c r="A52" t="s">
        <v>138</v>
      </c>
      <c r="B52" t="s">
        <v>139</v>
      </c>
      <c r="C52" s="19">
        <v>0</v>
      </c>
      <c r="Y52" t="s">
        <v>140</v>
      </c>
      <c r="Z52" t="s">
        <v>141</v>
      </c>
    </row>
    <row r="53" spans="1:26">
      <c r="A53" t="s">
        <v>138</v>
      </c>
      <c r="B53" t="s">
        <v>142</v>
      </c>
      <c r="C53" s="19">
        <v>0</v>
      </c>
    </row>
    <row r="54" spans="1:26">
      <c r="A54" t="s">
        <v>143</v>
      </c>
      <c r="B54" t="s">
        <v>144</v>
      </c>
      <c r="C54" s="19">
        <v>0</v>
      </c>
    </row>
    <row r="55" spans="1:26">
      <c r="A55" t="s">
        <v>145</v>
      </c>
      <c r="B55" t="s">
        <v>146</v>
      </c>
      <c r="C55" s="19">
        <v>0</v>
      </c>
    </row>
    <row r="56" spans="1:26">
      <c r="A56" t="s">
        <v>145</v>
      </c>
      <c r="B56" t="s">
        <v>147</v>
      </c>
      <c r="C56" s="19">
        <v>0</v>
      </c>
      <c r="Y56" t="s">
        <v>148</v>
      </c>
      <c r="Z56" t="s">
        <v>149</v>
      </c>
    </row>
    <row r="57" spans="1:26">
      <c r="A57" t="s">
        <v>150</v>
      </c>
      <c r="B57" t="s">
        <v>151</v>
      </c>
      <c r="C57" s="19">
        <v>0</v>
      </c>
      <c r="Y57" t="s">
        <v>152</v>
      </c>
      <c r="Z57" t="s">
        <v>153</v>
      </c>
    </row>
    <row r="58" spans="1:26">
      <c r="A58" t="s">
        <v>154</v>
      </c>
      <c r="B58" t="s">
        <v>155</v>
      </c>
      <c r="C58" s="19">
        <v>0</v>
      </c>
    </row>
    <row r="59" spans="1:26">
      <c r="A59" t="s">
        <v>156</v>
      </c>
      <c r="B59" t="s">
        <v>157</v>
      </c>
      <c r="C59" s="19">
        <v>0</v>
      </c>
      <c r="Y59" t="s">
        <v>158</v>
      </c>
      <c r="Z59" t="s">
        <v>159</v>
      </c>
    </row>
    <row r="60" spans="1:26">
      <c r="A60" t="s">
        <v>167</v>
      </c>
      <c r="B60" t="s">
        <v>168</v>
      </c>
      <c r="C60" s="19">
        <v>0</v>
      </c>
    </row>
    <row r="61" spans="1:26">
      <c r="A61" t="s">
        <v>173</v>
      </c>
      <c r="B61" t="s">
        <v>174</v>
      </c>
      <c r="C61" s="19">
        <v>0</v>
      </c>
      <c r="Y61" t="s">
        <v>175</v>
      </c>
      <c r="Z61" t="s">
        <v>176</v>
      </c>
    </row>
    <row r="62" spans="1:26">
      <c r="A62" t="s">
        <v>177</v>
      </c>
      <c r="B62" t="s">
        <v>178</v>
      </c>
      <c r="C62" s="19">
        <v>0</v>
      </c>
    </row>
    <row r="63" spans="1:26">
      <c r="A63" t="s">
        <v>179</v>
      </c>
      <c r="B63" t="s">
        <v>180</v>
      </c>
      <c r="C63" s="19">
        <v>0</v>
      </c>
    </row>
    <row r="64" spans="1:26">
      <c r="A64" t="s">
        <v>181</v>
      </c>
      <c r="B64" t="s">
        <v>182</v>
      </c>
      <c r="C64" s="19">
        <v>0</v>
      </c>
    </row>
    <row r="65" spans="1:26">
      <c r="A65" t="s">
        <v>183</v>
      </c>
      <c r="B65" t="s">
        <v>124</v>
      </c>
      <c r="C65" s="19">
        <v>0</v>
      </c>
      <c r="Y65" t="s">
        <v>184</v>
      </c>
    </row>
    <row r="66" spans="1:26">
      <c r="A66" t="s">
        <v>183</v>
      </c>
      <c r="B66" t="s">
        <v>147</v>
      </c>
      <c r="C66" s="19">
        <v>0</v>
      </c>
      <c r="Y66" t="s">
        <v>185</v>
      </c>
      <c r="Z66" t="s">
        <v>186</v>
      </c>
    </row>
    <row r="67" spans="1:26">
      <c r="A67" t="s">
        <v>191</v>
      </c>
      <c r="B67" t="s">
        <v>192</v>
      </c>
      <c r="C67" s="19">
        <v>0</v>
      </c>
    </row>
    <row r="68" spans="1:26">
      <c r="A68" t="s">
        <v>196</v>
      </c>
      <c r="B68" t="s">
        <v>197</v>
      </c>
      <c r="C68" s="19">
        <v>0</v>
      </c>
      <c r="Y68" t="s">
        <v>198</v>
      </c>
      <c r="Z68" t="s">
        <v>199</v>
      </c>
    </row>
    <row r="69" spans="1:26">
      <c r="A69" t="s">
        <v>204</v>
      </c>
      <c r="B69" t="s">
        <v>205</v>
      </c>
      <c r="C69" s="19">
        <v>0</v>
      </c>
    </row>
    <row r="70" spans="1:26">
      <c r="A70" t="s">
        <v>204</v>
      </c>
      <c r="B70" t="s">
        <v>194</v>
      </c>
      <c r="C70" s="19">
        <v>0</v>
      </c>
      <c r="Y70" t="s">
        <v>206</v>
      </c>
      <c r="Z70" t="s">
        <v>195</v>
      </c>
    </row>
    <row r="71" spans="1:26">
      <c r="A71" t="s">
        <v>211</v>
      </c>
      <c r="B71" t="s">
        <v>212</v>
      </c>
      <c r="C71" s="19">
        <v>0</v>
      </c>
    </row>
    <row r="72" spans="1:26">
      <c r="A72" t="s">
        <v>213</v>
      </c>
      <c r="B72" t="s">
        <v>20</v>
      </c>
      <c r="C72" s="19">
        <v>0</v>
      </c>
    </row>
    <row r="73" spans="1:26">
      <c r="A73" t="s">
        <v>214</v>
      </c>
      <c r="B73" t="s">
        <v>215</v>
      </c>
      <c r="C73" s="19">
        <v>0</v>
      </c>
    </row>
    <row r="74" spans="1:26">
      <c r="A74" t="s">
        <v>216</v>
      </c>
      <c r="B74" t="s">
        <v>217</v>
      </c>
      <c r="C74" s="19">
        <v>0</v>
      </c>
      <c r="Y74" t="s">
        <v>218</v>
      </c>
      <c r="Z74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CB46-8EA6-4E09-830A-1282976D7F90}">
  <dimension ref="A1:A5"/>
  <sheetViews>
    <sheetView workbookViewId="0">
      <selection activeCell="A5" sqref="A5"/>
    </sheetView>
  </sheetViews>
  <sheetFormatPr defaultRowHeight="14.5"/>
  <cols>
    <col min="1" max="1" width="130.81640625" customWidth="1"/>
  </cols>
  <sheetData>
    <row r="1" spans="1:1">
      <c r="A1" t="s">
        <v>229</v>
      </c>
    </row>
    <row r="2" spans="1:1">
      <c r="A2" s="1" t="s">
        <v>231</v>
      </c>
    </row>
    <row r="3" spans="1:1">
      <c r="A3" t="s">
        <v>230</v>
      </c>
    </row>
    <row r="4" spans="1:1">
      <c r="A4" t="s">
        <v>232</v>
      </c>
    </row>
    <row r="5" spans="1:1">
      <c r="A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S4 G1 Final</vt:lpstr>
      <vt:lpstr>S4 G2 wkg</vt:lpstr>
      <vt:lpstr>S4 G3 wkg</vt:lpstr>
      <vt:lpstr>S4 G4 wkg</vt:lpstr>
      <vt:lpstr>S4 G5 wkg</vt:lpstr>
      <vt:lpstr>S4 G wkg</vt:lpstr>
      <vt:lpstr>S4 Satellite wkg</vt:lpstr>
      <vt:lpstr>ToC wkg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Hufler</dc:creator>
  <cp:lastModifiedBy>Timothy Hufler</cp:lastModifiedBy>
  <dcterms:created xsi:type="dcterms:W3CDTF">2026-06-21T21:18:51Z</dcterms:created>
  <dcterms:modified xsi:type="dcterms:W3CDTF">2026-06-30T01:36:04Z</dcterms:modified>
</cp:coreProperties>
</file>